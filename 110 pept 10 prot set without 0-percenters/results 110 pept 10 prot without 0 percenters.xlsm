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phia\Google Drive\professional stuff\Master\Semester 4 - UT Austin\3 - Internship AK Marcotte\2 - fluorosequencing\2 - test sets\110 pept 10 prot set without 0-percenters\"/>
    </mc:Choice>
  </mc:AlternateContent>
  <xr:revisionPtr revIDLastSave="0" documentId="13_ncr:1_{94F044EA-27F6-4CB4-8682-B6D8B12C2710}" xr6:coauthVersionLast="47" xr6:coauthVersionMax="47" xr10:uidLastSave="{00000000-0000-0000-0000-000000000000}"/>
  <bookViews>
    <workbookView xWindow="29610" yWindow="-120" windowWidth="28110" windowHeight="16440" xr2:uid="{00000000-000D-0000-FFFF-FFFF00000000}"/>
  </bookViews>
  <sheets>
    <sheet name="110pept no 0%ers " sheetId="1" r:id="rId1"/>
    <sheet name="Sheet2" sheetId="3" r:id="rId2"/>
  </sheets>
  <definedNames>
    <definedName name="keys" localSheetId="0">'110pept no 0%ers '!$C$1,'110pept no 0%ers '!#REF!</definedName>
    <definedName name="keys" localSheetId="1">Sheet2!$B$1,Sheet2!$T$1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1" l="1"/>
  <c r="U2" i="1" s="1"/>
  <c r="R2" i="1"/>
  <c r="T2" i="1" s="1"/>
  <c r="Y2" i="3"/>
  <c r="Z2" i="3"/>
  <c r="V3" i="3"/>
  <c r="W3" i="3"/>
  <c r="V4" i="3"/>
  <c r="W4" i="3"/>
  <c r="V5" i="3"/>
  <c r="W5" i="3"/>
  <c r="V6" i="3"/>
  <c r="W6" i="3"/>
  <c r="V7" i="3"/>
  <c r="W7" i="3"/>
  <c r="V8" i="3"/>
  <c r="W8" i="3"/>
  <c r="V9" i="3"/>
  <c r="W9" i="3"/>
  <c r="V10" i="3"/>
  <c r="W10" i="3"/>
  <c r="W2" i="3"/>
  <c r="V2" i="3"/>
  <c r="J3" i="3" l="1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2" i="3"/>
  <c r="M2" i="3" s="1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2" i="3"/>
  <c r="L2" i="3" s="1"/>
  <c r="J15" i="1"/>
  <c r="J42" i="1"/>
  <c r="J39" i="1"/>
  <c r="J53" i="1"/>
  <c r="J26" i="1"/>
  <c r="J11" i="1"/>
  <c r="J2" i="1"/>
  <c r="J7" i="1"/>
  <c r="J54" i="1"/>
  <c r="J24" i="1"/>
  <c r="J55" i="1"/>
  <c r="J56" i="1"/>
  <c r="J50" i="1"/>
  <c r="J43" i="1"/>
  <c r="J57" i="1"/>
  <c r="J58" i="1"/>
  <c r="J59" i="1"/>
  <c r="J52" i="1"/>
  <c r="J5" i="1"/>
  <c r="J33" i="1"/>
  <c r="J60" i="1"/>
  <c r="J61" i="1"/>
  <c r="J27" i="1"/>
  <c r="J62" i="1"/>
  <c r="J21" i="1"/>
  <c r="J17" i="1"/>
  <c r="J48" i="1"/>
  <c r="J63" i="1"/>
  <c r="J64" i="1"/>
  <c r="J65" i="1"/>
  <c r="J6" i="1"/>
  <c r="J29" i="1"/>
  <c r="J37" i="1"/>
  <c r="J47" i="1"/>
  <c r="J41" i="1"/>
  <c r="J20" i="1"/>
  <c r="J32" i="1"/>
  <c r="J45" i="1"/>
  <c r="J3" i="1"/>
  <c r="J66" i="1"/>
  <c r="J67" i="1"/>
  <c r="J68" i="1"/>
  <c r="J8" i="1"/>
  <c r="J22" i="1"/>
  <c r="J28" i="1"/>
  <c r="J69" i="1"/>
  <c r="J70" i="1"/>
  <c r="J71" i="1"/>
  <c r="J44" i="1"/>
  <c r="J40" i="1"/>
  <c r="J72" i="1"/>
  <c r="I15" i="1"/>
  <c r="I42" i="1"/>
  <c r="I39" i="1"/>
  <c r="I53" i="1"/>
  <c r="I26" i="1"/>
  <c r="I11" i="1"/>
  <c r="I2" i="1"/>
  <c r="I7" i="1"/>
  <c r="I54" i="1"/>
  <c r="I24" i="1"/>
  <c r="I55" i="1"/>
  <c r="I56" i="1"/>
  <c r="I50" i="1"/>
  <c r="I43" i="1"/>
  <c r="I57" i="1"/>
  <c r="I58" i="1"/>
  <c r="I59" i="1"/>
  <c r="I52" i="1"/>
  <c r="I5" i="1"/>
  <c r="I33" i="1"/>
  <c r="I60" i="1"/>
  <c r="I61" i="1"/>
  <c r="I27" i="1"/>
  <c r="I62" i="1"/>
  <c r="I21" i="1"/>
  <c r="I17" i="1"/>
  <c r="I48" i="1"/>
  <c r="I63" i="1"/>
  <c r="I64" i="1"/>
  <c r="I65" i="1"/>
  <c r="I6" i="1"/>
  <c r="I29" i="1"/>
  <c r="I37" i="1"/>
  <c r="I47" i="1"/>
  <c r="I41" i="1"/>
  <c r="I20" i="1"/>
  <c r="I32" i="1"/>
  <c r="I45" i="1"/>
  <c r="I3" i="1"/>
  <c r="I66" i="1"/>
  <c r="I67" i="1"/>
  <c r="I68" i="1"/>
  <c r="I8" i="1"/>
  <c r="I22" i="1"/>
  <c r="I28" i="1"/>
  <c r="I69" i="1"/>
  <c r="I70" i="1"/>
  <c r="I71" i="1"/>
  <c r="I44" i="1"/>
  <c r="I40" i="1"/>
  <c r="I72" i="1"/>
  <c r="K2" i="1" l="1"/>
  <c r="L2" i="1"/>
</calcChain>
</file>

<file path=xl/sharedStrings.xml><?xml version="1.0" encoding="utf-8"?>
<sst xmlns="http://schemas.openxmlformats.org/spreadsheetml/2006/main" count="79" uniqueCount="32">
  <si>
    <t>AVG [%]</t>
  </si>
  <si>
    <t>±STD [%]</t>
  </si>
  <si>
    <t>-CI [%]</t>
  </si>
  <si>
    <t>+CI [%]</t>
  </si>
  <si>
    <t>0</t>
  </si>
  <si>
    <t>Settings of this run</t>
  </si>
  <si>
    <t>Inference mode: peptide</t>
  </si>
  <si>
    <t>EM_convergence_minimum: 0.0001</t>
  </si>
  <si>
    <t>EM_loopcounter_max: 200</t>
  </si>
  <si>
    <t>bootstrap_sampled_fraction: 0.8</t>
  </si>
  <si>
    <t>n_bootstrap_runs: 200</t>
  </si>
  <si>
    <t xml:space="preserve">CI_percent: 95.0 </t>
  </si>
  <si>
    <t>Runtime: 101.69 seconds ---</t>
  </si>
  <si>
    <t>Inference mode: protein</t>
  </si>
  <si>
    <t>Runtime: 101.98 seconds ---</t>
  </si>
  <si>
    <t>target value</t>
  </si>
  <si>
    <t>Column1</t>
  </si>
  <si>
    <t>"original ID" out of 110 that aligns with the dataset WITH 0-percenters. Some ID's are technically incorrect, but they have the exact same prevalence as the one they're swapped with, so it doesn't matter.</t>
  </si>
  <si>
    <t>original ID out of 110. Off by one compared to dataset without 0-percenters</t>
  </si>
  <si>
    <t>Column2</t>
  </si>
  <si>
    <t>Column3</t>
  </si>
  <si>
    <t>percentage within CI</t>
  </si>
  <si>
    <t>percentage within STD</t>
  </si>
  <si>
    <t>j</t>
  </si>
  <si>
    <t>EM_convergence_minimum: 1e-06</t>
  </si>
  <si>
    <t>Runtime: 883.46 seconds ---</t>
  </si>
  <si>
    <t>Runtime: 884.42 seconds ---</t>
  </si>
  <si>
    <t>PRESS SHIFT + F9 TO REFRESH FORMULAS</t>
  </si>
  <si>
    <t>check: target within CI?</t>
  </si>
  <si>
    <t>check:estimate within STD?</t>
  </si>
  <si>
    <t xml:space="preserve"> </t>
  </si>
  <si>
    <t>Target value [%]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</si>
</sst>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Var(--jp-content-font-family)"/>
    </font>
    <font>
      <sz val="11"/>
      <color theme="1"/>
      <name val="Var(--jp-content-font-family)"/>
    </font>
    <font>
      <sz val="10"/>
      <color rgb="FF000000"/>
      <name val="Var(--jp-code-font-family)"/>
    </font>
    <font>
      <b/>
      <sz val="10"/>
      <color rgb="FF000000"/>
      <name val="Var(--jp-code-font-family)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Segoe UI"/>
      <family val="2"/>
    </font>
    <font>
      <b/>
      <sz val="7"/>
      <color theme="1"/>
      <name val="Var(--jp-content-font-family)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CDC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2" borderId="0" xfId="0" applyFill="1"/>
    <xf numFmtId="0" fontId="0" fillId="3" borderId="0" xfId="0" applyFill="1"/>
    <xf numFmtId="0" fontId="1" fillId="2" borderId="0" xfId="0" applyFont="1" applyFill="1" applyAlignment="1">
      <alignment horizontal="right" vertical="center" wrapText="1"/>
    </xf>
    <xf numFmtId="0" fontId="2" fillId="2" borderId="0" xfId="0" applyFont="1" applyFill="1" applyAlignment="1">
      <alignment horizontal="right" vertical="center" wrapText="1"/>
    </xf>
    <xf numFmtId="0" fontId="0" fillId="0" borderId="1" xfId="0" applyBorder="1"/>
    <xf numFmtId="0" fontId="2" fillId="0" borderId="2" xfId="0" applyFont="1" applyBorder="1" applyAlignment="1">
      <alignment horizontal="right" vertical="center" wrapText="1"/>
    </xf>
    <xf numFmtId="0" fontId="2" fillId="0" borderId="1" xfId="0" applyFont="1" applyBorder="1" applyAlignment="1">
      <alignment horizontal="right" vertical="center" wrapText="1"/>
    </xf>
    <xf numFmtId="0" fontId="5" fillId="0" borderId="0" xfId="0" applyFont="1"/>
    <xf numFmtId="0" fontId="5" fillId="3" borderId="0" xfId="0" applyFont="1" applyFill="1"/>
    <xf numFmtId="0" fontId="2" fillId="2" borderId="3" xfId="0" applyFont="1" applyFill="1" applyBorder="1" applyAlignment="1">
      <alignment horizontal="right" vertical="center" wrapText="1"/>
    </xf>
    <xf numFmtId="0" fontId="0" fillId="0" borderId="0" xfId="0" applyAlignment="1">
      <alignment horizontal="left" vertical="center"/>
    </xf>
    <xf numFmtId="0" fontId="0" fillId="2" borderId="3" xfId="0" applyFill="1" applyBorder="1"/>
    <xf numFmtId="0" fontId="0" fillId="3" borderId="3" xfId="0" applyFill="1" applyBorder="1"/>
    <xf numFmtId="0" fontId="0" fillId="3" borderId="1" xfId="0" applyFill="1" applyBorder="1"/>
    <xf numFmtId="0" fontId="0" fillId="0" borderId="0" xfId="0" applyAlignment="1">
      <alignment horizontal="left" vertical="center" wrapText="1"/>
    </xf>
    <xf numFmtId="0" fontId="0" fillId="0" borderId="3" xfId="0" applyBorder="1"/>
    <xf numFmtId="0" fontId="7" fillId="0" borderId="0" xfId="0" applyFont="1" applyAlignment="1">
      <alignment horizontal="right" vertical="center" wrapText="1"/>
    </xf>
    <xf numFmtId="0" fontId="5" fillId="0" borderId="2" xfId="0" applyFont="1" applyBorder="1"/>
    <xf numFmtId="0" fontId="0" fillId="2" borderId="1" xfId="0" applyFill="1" applyBorder="1"/>
    <xf numFmtId="0" fontId="1" fillId="2" borderId="3" xfId="0" applyFont="1" applyFill="1" applyBorder="1" applyAlignment="1">
      <alignment horizontal="right" vertical="center" wrapText="1"/>
    </xf>
    <xf numFmtId="0" fontId="0" fillId="2" borderId="3" xfId="0" applyFill="1" applyBorder="1" applyAlignment="1">
      <alignment horizontal="right"/>
    </xf>
    <xf numFmtId="0" fontId="8" fillId="4" borderId="0" xfId="0" applyFont="1" applyFill="1" applyAlignment="1">
      <alignment horizontal="right" vertical="center" wrapText="1"/>
    </xf>
    <xf numFmtId="0" fontId="5" fillId="0" borderId="4" xfId="0" applyFont="1" applyBorder="1"/>
    <xf numFmtId="0" fontId="5" fillId="3" borderId="4" xfId="0" applyFont="1" applyFill="1" applyBorder="1"/>
    <xf numFmtId="0" fontId="1" fillId="0" borderId="4" xfId="0" applyFont="1" applyBorder="1" applyAlignment="1">
      <alignment horizontal="right" vertical="center" wrapText="1"/>
    </xf>
    <xf numFmtId="0" fontId="0" fillId="2" borderId="0" xfId="0" applyFill="1" applyAlignment="1">
      <alignment horizontal="right"/>
    </xf>
    <xf numFmtId="0" fontId="0" fillId="5" borderId="0" xfId="0" applyFill="1"/>
    <xf numFmtId="0" fontId="0" fillId="6" borderId="0" xfId="0" applyFill="1"/>
    <xf numFmtId="0" fontId="9" fillId="0" borderId="2" xfId="0" applyFont="1" applyBorder="1" applyAlignment="1">
      <alignment horizontal="right" vertical="center" wrapText="1"/>
    </xf>
  </cellXfs>
  <cellStyles count="1"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ar(--jp-content-font-family)"/>
        <scheme val="none"/>
      </font>
      <numFmt numFmtId="0" formatCode="General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ar(--jp-content-font-family)"/>
        <scheme val="none"/>
      </font>
      <numFmt numFmtId="0" formatCode="General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ar(--jp-content-font-family)"/>
        <scheme val="none"/>
      </font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ar(--jp-content-font-family)"/>
        <scheme val="none"/>
      </font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ar(--jp-content-font-family)"/>
        <scheme val="none"/>
      </font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ar(--jp-content-font-family)"/>
        <scheme val="none"/>
      </font>
      <alignment horizontal="right" vertical="center" textRotation="0" wrapText="1" indent="0" justifyLastLine="0" shrinkToFit="0" readingOrder="0"/>
    </dxf>
    <dxf>
      <fill>
        <patternFill patternType="solid">
          <fgColor indexed="64"/>
          <bgColor rgb="FFFFCDCD"/>
        </patternFill>
      </fill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ar(--jp-content-font-family)"/>
        <scheme val="none"/>
      </font>
      <alignment horizontal="righ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ar(--jp-content-font-family)"/>
        <scheme val="none"/>
      </font>
      <alignment horizontal="right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569B0CB-699B-4CE7-9C5A-976664380328}" name="Table2" displayName="Table2" ref="A1:J108" totalsRowShown="0" headerRowDxfId="9" dataDxfId="8" tableBorderDxfId="7">
  <autoFilter ref="A1:J108" xr:uid="{1569B0CB-699B-4CE7-9C5A-976664380328}">
    <filterColumn colId="3">
      <customFilters>
        <customFilter operator="notEqual" val=" "/>
      </customFilters>
    </filterColumn>
  </autoFilter>
  <sortState xmlns:xlrd2="http://schemas.microsoft.com/office/spreadsheetml/2017/richdata2" ref="A2:J108">
    <sortCondition ref="A1:A108"/>
  </sortState>
  <tableColumns count="10">
    <tableColumn id="1" xr3:uid="{380337CB-5944-4CBD-868A-3D686BE89168}" name="Column1"/>
    <tableColumn id="2" xr3:uid="{C08A7D77-07DF-4B45-A757-8D61A1FB3041}" name="original ID out of 110. Off by one compared to dataset without 0-percenters"/>
    <tableColumn id="3" xr3:uid="{ADC837FB-A740-4EC5-92EA-3A1591D2021F}" name="&quot;original ID&quot; out of 110 that aligns with the dataset WITH 0-percenters. Some ID's are technically incorrect, but they have the exact same prevalence as the one they're swapped with, so it doesn't matter."/>
    <tableColumn id="4" xr3:uid="{F2A02F93-0C76-433B-A205-4E06361B461C}" name="target value" dataDxfId="6"/>
    <tableColumn id="5" xr3:uid="{8404E893-7572-419C-8DFA-4D80E6390E5F}" name="AVG [%]" dataDxfId="5"/>
    <tableColumn id="6" xr3:uid="{6E9A420E-CC82-4DB1-9383-D672320B905C}" name="±STD [%]" dataDxfId="4"/>
    <tableColumn id="7" xr3:uid="{B56DC582-2027-4207-898A-228D0E617193}" name="-CI [%]" dataDxfId="3"/>
    <tableColumn id="8" xr3:uid="{EF43174F-A6AE-4EA0-87D1-A5D5DE64069D}" name="+CI [%]" dataDxfId="2"/>
    <tableColumn id="9" xr3:uid="{0045B60C-88D8-42D5-BD04-DB5D44A96E9B}" name="Column2" dataDxfId="1">
      <calculatedColumnFormula>IF(AND(D2&gt;=G2, D2&lt;=H2),1,0)</calculatedColumnFormula>
    </tableColumn>
    <tableColumn id="10" xr3:uid="{43A38A2E-4ADE-4AFC-8653-7291D4BDFD7F}" name="Column3" dataDxfId="0">
      <calculatedColumnFormula>IF(AND((E2+F2)&gt;=D2,(E2-F2)&lt;=D2),1,0)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08"/>
  <sheetViews>
    <sheetView tabSelected="1" zoomScaleNormal="100" workbookViewId="0">
      <selection activeCell="O39" sqref="O39"/>
    </sheetView>
  </sheetViews>
  <sheetFormatPr defaultRowHeight="15"/>
  <cols>
    <col min="1" max="1" width="17.42578125" customWidth="1"/>
    <col min="2" max="2" width="14" customWidth="1"/>
    <col min="3" max="3" width="22.85546875" customWidth="1"/>
    <col min="4" max="4" width="13.7109375" customWidth="1"/>
    <col min="5" max="5" width="11.28515625" customWidth="1"/>
    <col min="6" max="6" width="12.5703125" customWidth="1"/>
    <col min="7" max="7" width="9.85546875" customWidth="1"/>
    <col min="8" max="8" width="10.42578125" customWidth="1"/>
  </cols>
  <sheetData>
    <row r="1" spans="1:21" ht="30">
      <c r="A1" s="12" t="s">
        <v>16</v>
      </c>
      <c r="B1" s="12" t="s">
        <v>18</v>
      </c>
      <c r="C1" s="12" t="s">
        <v>17</v>
      </c>
      <c r="D1" s="13" t="s">
        <v>15</v>
      </c>
      <c r="E1" s="1" t="s">
        <v>0</v>
      </c>
      <c r="F1" s="1" t="s">
        <v>1</v>
      </c>
      <c r="G1" s="1" t="s">
        <v>2</v>
      </c>
      <c r="H1" s="1" t="s">
        <v>3</v>
      </c>
      <c r="I1" s="1" t="s">
        <v>19</v>
      </c>
      <c r="J1" s="1" t="s">
        <v>20</v>
      </c>
      <c r="K1" s="12" t="s">
        <v>21</v>
      </c>
      <c r="L1" s="12" t="s">
        <v>22</v>
      </c>
      <c r="N1" s="1" t="s">
        <v>0</v>
      </c>
      <c r="O1" s="1" t="s">
        <v>1</v>
      </c>
      <c r="P1" s="1" t="s">
        <v>2</v>
      </c>
      <c r="Q1" s="1" t="s">
        <v>3</v>
      </c>
      <c r="R1" s="1" t="s">
        <v>19</v>
      </c>
      <c r="S1" s="1" t="s">
        <v>20</v>
      </c>
      <c r="T1" s="12" t="s">
        <v>21</v>
      </c>
      <c r="U1" s="12" t="s">
        <v>22</v>
      </c>
    </row>
    <row r="2" spans="1:21">
      <c r="A2" s="24">
        <v>1</v>
      </c>
      <c r="B2" s="16">
        <v>1</v>
      </c>
      <c r="C2" s="25">
        <v>0</v>
      </c>
      <c r="D2" s="17">
        <v>3.9827943285008764</v>
      </c>
      <c r="E2" s="14">
        <v>3.31</v>
      </c>
      <c r="F2" s="14">
        <v>0.18</v>
      </c>
      <c r="G2" s="14">
        <v>2.94</v>
      </c>
      <c r="H2" s="14">
        <v>3.59</v>
      </c>
      <c r="I2" s="2">
        <f>IF(AND(D2&gt;=G2, D2&lt;=H2),1,0)</f>
        <v>0</v>
      </c>
      <c r="J2" s="2">
        <f>IF(AND((E2+F2)&gt;=D2,(E2-F2)&lt;=D2),1,0)</f>
        <v>0</v>
      </c>
      <c r="K2" s="21">
        <f>SUM(I:I)/110</f>
        <v>0.27272727272727271</v>
      </c>
      <c r="L2" s="21">
        <f>SUM(J:J)/110</f>
        <v>0.18181818181818182</v>
      </c>
      <c r="R2" s="2">
        <f>IF(AND(M2&gt;=P2, M2&lt;=Q2),1,0)</f>
        <v>1</v>
      </c>
      <c r="S2" s="2">
        <f>IF(AND((N2+O2)&gt;=M2,(N2-O2)&lt;=M2),1,0)</f>
        <v>1</v>
      </c>
      <c r="T2" s="21">
        <f>SUM(R:R)/110</f>
        <v>9.0909090909090905E-3</v>
      </c>
      <c r="U2" s="21">
        <f>SUM(S:S)/110</f>
        <v>9.0909090909090905E-3</v>
      </c>
    </row>
    <row r="3" spans="1:21">
      <c r="A3" s="7">
        <v>2</v>
      </c>
      <c r="B3" s="5">
        <v>2</v>
      </c>
      <c r="C3" s="5">
        <v>42</v>
      </c>
      <c r="D3" s="6">
        <v>0.81249004301417882</v>
      </c>
      <c r="E3" s="8">
        <v>1.05</v>
      </c>
      <c r="F3" s="8">
        <v>0.09</v>
      </c>
      <c r="G3" s="8">
        <v>0.87</v>
      </c>
      <c r="H3" s="8">
        <v>1.22</v>
      </c>
      <c r="I3" s="2">
        <f>IF(AND(D3&gt;=G3, D3&lt;=H3),1,0)</f>
        <v>0</v>
      </c>
      <c r="J3" s="2">
        <f>IF(AND((E3+F3)&gt;=D3,(E3-F3)&lt;=D3),1,0)</f>
        <v>0</v>
      </c>
      <c r="M3" s="1" t="s">
        <v>4</v>
      </c>
      <c r="N3" s="2">
        <v>26.87</v>
      </c>
      <c r="O3" s="2">
        <v>1.1000000000000001</v>
      </c>
      <c r="P3" s="2">
        <v>24.5</v>
      </c>
      <c r="Q3" s="2">
        <v>28.45</v>
      </c>
      <c r="T3" s="8"/>
    </row>
    <row r="4" spans="1:21" hidden="1">
      <c r="A4" s="1">
        <v>3</v>
      </c>
      <c r="B4">
        <v>3</v>
      </c>
      <c r="D4" s="6"/>
      <c r="E4" s="2"/>
      <c r="F4" s="2"/>
      <c r="G4" s="2"/>
      <c r="H4" s="2"/>
      <c r="I4" s="2"/>
      <c r="J4" s="2"/>
      <c r="M4" s="1">
        <v>1</v>
      </c>
      <c r="N4" s="2">
        <v>22.12</v>
      </c>
      <c r="O4" s="2">
        <v>1.0900000000000001</v>
      </c>
      <c r="P4" s="2">
        <v>19.89</v>
      </c>
      <c r="Q4" s="2">
        <v>23.7</v>
      </c>
      <c r="T4" s="8"/>
    </row>
    <row r="5" spans="1:21">
      <c r="A5" s="1">
        <v>4</v>
      </c>
      <c r="B5">
        <v>4</v>
      </c>
      <c r="C5" s="5">
        <v>9</v>
      </c>
      <c r="D5" s="6">
        <v>2.0073283415644414</v>
      </c>
      <c r="E5" s="8">
        <v>1.73</v>
      </c>
      <c r="F5" s="8">
        <v>0.11</v>
      </c>
      <c r="G5" s="8">
        <v>1.53</v>
      </c>
      <c r="H5" s="8">
        <v>1.98</v>
      </c>
      <c r="I5" s="2">
        <f>IF(AND(D5&gt;=G5, D5&lt;=H5),1,0)</f>
        <v>0</v>
      </c>
      <c r="J5" s="2">
        <f>IF(AND((E5+F5)&gt;=D5,(E5-F5)&lt;=D5),1,0)</f>
        <v>0</v>
      </c>
      <c r="M5" s="1">
        <v>2</v>
      </c>
      <c r="N5" s="2">
        <v>17.68</v>
      </c>
      <c r="O5" s="2">
        <v>0.34</v>
      </c>
      <c r="P5" s="2">
        <v>17.059999999999999</v>
      </c>
      <c r="Q5" s="2">
        <v>18.440000000000001</v>
      </c>
      <c r="T5" s="2"/>
    </row>
    <row r="6" spans="1:21">
      <c r="A6" s="1">
        <v>5</v>
      </c>
      <c r="B6">
        <v>6</v>
      </c>
      <c r="C6" s="5">
        <v>17</v>
      </c>
      <c r="D6" s="6">
        <v>1.1470447666082524</v>
      </c>
      <c r="E6" s="8">
        <v>1.33</v>
      </c>
      <c r="F6" s="8">
        <v>0.1</v>
      </c>
      <c r="G6" s="8">
        <v>1.1399999999999999</v>
      </c>
      <c r="H6" s="8">
        <v>1.52</v>
      </c>
      <c r="I6" s="2">
        <f>IF(AND(D6&gt;=G6, D6&lt;=H6),1,0)</f>
        <v>1</v>
      </c>
      <c r="J6" s="2">
        <f>IF(AND((E6+F6)&gt;=D6,(E6-F6)&lt;=D6),1,0)</f>
        <v>0</v>
      </c>
      <c r="M6" s="1">
        <v>3</v>
      </c>
      <c r="N6" s="2">
        <v>8.86</v>
      </c>
      <c r="O6" s="2">
        <v>0.25</v>
      </c>
      <c r="P6" s="2">
        <v>8.32</v>
      </c>
      <c r="Q6" s="2">
        <v>9.3000000000000007</v>
      </c>
      <c r="T6" s="8"/>
    </row>
    <row r="7" spans="1:21">
      <c r="A7" s="7">
        <v>6</v>
      </c>
      <c r="B7" s="5">
        <v>7</v>
      </c>
      <c r="C7" s="5">
        <v>24</v>
      </c>
      <c r="D7" s="6">
        <v>3.9827943285008764</v>
      </c>
      <c r="E7" s="8">
        <v>3.59</v>
      </c>
      <c r="F7" s="8">
        <v>0.2</v>
      </c>
      <c r="G7" s="8">
        <v>3.18</v>
      </c>
      <c r="H7" s="8">
        <v>3.95</v>
      </c>
      <c r="I7" s="2">
        <f>IF(AND(D7&gt;=G7, D7&lt;=H7),1,0)</f>
        <v>0</v>
      </c>
      <c r="J7" s="2">
        <f>IF(AND((E7+F7)&gt;=D7,(E7-F7)&lt;=D7),1,0)</f>
        <v>0</v>
      </c>
      <c r="M7" s="1">
        <v>4</v>
      </c>
      <c r="N7" s="2">
        <v>8.01</v>
      </c>
      <c r="O7" s="2">
        <v>0.59</v>
      </c>
      <c r="P7" s="2">
        <v>7.03</v>
      </c>
      <c r="Q7" s="2">
        <v>9.2200000000000006</v>
      </c>
      <c r="T7" s="2"/>
    </row>
    <row r="8" spans="1:21">
      <c r="A8" s="7">
        <v>7</v>
      </c>
      <c r="B8" s="5">
        <v>8</v>
      </c>
      <c r="C8" s="5">
        <v>2</v>
      </c>
      <c r="D8" s="6">
        <v>0.66114385853114543</v>
      </c>
      <c r="E8" s="8">
        <v>0.66</v>
      </c>
      <c r="F8" s="8">
        <v>0.05</v>
      </c>
      <c r="G8" s="8">
        <v>0.56000000000000005</v>
      </c>
      <c r="H8" s="8">
        <v>0.77</v>
      </c>
      <c r="I8" s="2">
        <f>IF(AND(D8&gt;=G8, D8&lt;=H8),1,0)</f>
        <v>1</v>
      </c>
      <c r="J8" s="2">
        <f>IF(AND((E8+F8)&gt;=D8,(E8-F8)&lt;=D8),1,0)</f>
        <v>1</v>
      </c>
      <c r="M8" s="1">
        <v>5</v>
      </c>
      <c r="N8" s="2">
        <v>5.97</v>
      </c>
      <c r="O8" s="2">
        <v>0.54</v>
      </c>
      <c r="P8" s="2">
        <v>4.8899999999999997</v>
      </c>
      <c r="Q8" s="2">
        <v>7.06</v>
      </c>
      <c r="T8" s="8"/>
    </row>
    <row r="9" spans="1:21" hidden="1">
      <c r="A9" s="7">
        <v>8</v>
      </c>
      <c r="B9" s="5">
        <v>9</v>
      </c>
      <c r="C9" s="5"/>
      <c r="D9" s="6"/>
      <c r="E9" s="8"/>
      <c r="F9" s="8"/>
      <c r="G9" s="8"/>
      <c r="H9" s="8"/>
      <c r="I9" s="2"/>
      <c r="J9" s="2"/>
      <c r="M9" s="1">
        <v>6</v>
      </c>
      <c r="N9" s="2">
        <v>5.2</v>
      </c>
      <c r="O9" s="2">
        <v>0.94</v>
      </c>
      <c r="P9" s="2">
        <v>3.86</v>
      </c>
      <c r="Q9" s="2">
        <v>7.06</v>
      </c>
      <c r="T9" s="8"/>
    </row>
    <row r="10" spans="1:21" hidden="1">
      <c r="A10" s="7">
        <v>9</v>
      </c>
      <c r="B10" s="5">
        <v>10</v>
      </c>
      <c r="C10" s="5"/>
      <c r="D10" s="6"/>
      <c r="E10" s="8"/>
      <c r="F10" s="8"/>
      <c r="G10" s="8"/>
      <c r="H10" s="8"/>
      <c r="I10" s="2"/>
      <c r="J10" s="2"/>
      <c r="M10" s="1">
        <v>7</v>
      </c>
      <c r="N10" s="2">
        <v>2.87</v>
      </c>
      <c r="O10" s="2">
        <v>0.79</v>
      </c>
      <c r="P10" s="2">
        <v>1.7</v>
      </c>
      <c r="Q10" s="2">
        <v>4.55</v>
      </c>
      <c r="T10" s="8"/>
    </row>
    <row r="11" spans="1:21">
      <c r="A11" s="1">
        <v>10</v>
      </c>
      <c r="B11">
        <v>11</v>
      </c>
      <c r="C11">
        <v>49</v>
      </c>
      <c r="D11" s="6">
        <v>4.006691094471881</v>
      </c>
      <c r="E11" s="2">
        <v>3.99</v>
      </c>
      <c r="F11" s="2">
        <v>0.16</v>
      </c>
      <c r="G11" s="2">
        <v>3.7</v>
      </c>
      <c r="H11" s="2">
        <v>4.29</v>
      </c>
      <c r="I11" s="2">
        <f>IF(AND(D11&gt;=G11, D11&lt;=H11),1,0)</f>
        <v>1</v>
      </c>
      <c r="J11" s="2">
        <f>IF(AND((E11+F11)&gt;=D11,(E11-F11)&lt;=D11),1,0)</f>
        <v>1</v>
      </c>
      <c r="M11" s="1">
        <v>8</v>
      </c>
      <c r="N11" s="2">
        <v>2.42</v>
      </c>
      <c r="O11" s="2">
        <v>0.64</v>
      </c>
      <c r="P11" s="2">
        <v>1.47</v>
      </c>
      <c r="Q11" s="2">
        <v>3.69</v>
      </c>
      <c r="T11" s="8"/>
    </row>
    <row r="12" spans="1:21" hidden="1">
      <c r="A12" s="7">
        <v>11</v>
      </c>
      <c r="B12" s="5">
        <v>12</v>
      </c>
      <c r="C12" s="5"/>
      <c r="D12" s="6"/>
      <c r="E12" s="8"/>
      <c r="F12" s="8"/>
      <c r="G12" s="8"/>
      <c r="H12" s="8"/>
      <c r="I12" s="2"/>
      <c r="J12" s="2"/>
      <c r="T12" s="8"/>
    </row>
    <row r="13" spans="1:21" hidden="1">
      <c r="A13" s="1">
        <v>12</v>
      </c>
      <c r="B13">
        <v>14</v>
      </c>
      <c r="D13" s="6"/>
      <c r="E13" s="2"/>
      <c r="F13" s="2"/>
      <c r="G13" s="2"/>
      <c r="H13" s="2"/>
      <c r="I13" s="2"/>
      <c r="J13" s="2"/>
      <c r="M13" s="3" t="s">
        <v>5</v>
      </c>
      <c r="T13" s="2"/>
    </row>
    <row r="14" spans="1:21" hidden="1">
      <c r="A14" s="7">
        <v>13</v>
      </c>
      <c r="B14" s="5">
        <v>15</v>
      </c>
      <c r="C14" s="5"/>
      <c r="D14" s="6"/>
      <c r="E14" s="8"/>
      <c r="F14" s="8"/>
      <c r="G14" s="8"/>
      <c r="H14" s="8"/>
      <c r="I14" s="2"/>
      <c r="J14" s="2"/>
      <c r="M14" s="4" t="s">
        <v>13</v>
      </c>
      <c r="T14" s="8"/>
    </row>
    <row r="15" spans="1:21">
      <c r="A15" s="1">
        <v>14</v>
      </c>
      <c r="B15">
        <v>16</v>
      </c>
      <c r="C15" s="5">
        <v>1</v>
      </c>
      <c r="D15" s="6">
        <v>5.6874303010992513</v>
      </c>
      <c r="E15" s="8">
        <v>4.79</v>
      </c>
      <c r="F15" s="8">
        <v>0.38</v>
      </c>
      <c r="G15" s="8">
        <v>4.0999999999999996</v>
      </c>
      <c r="H15" s="8">
        <v>5.39</v>
      </c>
      <c r="I15" s="2">
        <f>IF(AND(D15&gt;=G15, D15&lt;=H15),1,0)</f>
        <v>0</v>
      </c>
      <c r="J15" s="2">
        <f>IF(AND((E15+F15)&gt;=D15,(E15-F15)&lt;=D15),1,0)</f>
        <v>0</v>
      </c>
      <c r="M15" s="4" t="s">
        <v>7</v>
      </c>
      <c r="T15" s="8"/>
    </row>
    <row r="16" spans="1:21" hidden="1">
      <c r="A16" s="7">
        <v>15</v>
      </c>
      <c r="B16" s="5">
        <v>17</v>
      </c>
      <c r="C16" s="5"/>
      <c r="D16" s="6"/>
      <c r="E16" s="8"/>
      <c r="F16" s="8"/>
      <c r="G16" s="8"/>
      <c r="H16" s="8"/>
      <c r="I16" s="2"/>
      <c r="J16" s="2"/>
      <c r="M16" s="4" t="s">
        <v>8</v>
      </c>
      <c r="T16" s="8"/>
    </row>
    <row r="17" spans="1:20">
      <c r="A17" s="1">
        <v>16</v>
      </c>
      <c r="B17">
        <v>19</v>
      </c>
      <c r="C17">
        <v>35</v>
      </c>
      <c r="D17" s="6">
        <v>1.6090489087143538</v>
      </c>
      <c r="E17" s="2">
        <v>1.42</v>
      </c>
      <c r="F17" s="2">
        <v>0.11</v>
      </c>
      <c r="G17" s="2">
        <v>1.24</v>
      </c>
      <c r="H17" s="2">
        <v>1.64</v>
      </c>
      <c r="I17" s="2">
        <f>IF(AND(D17&gt;=G17, D17&lt;=H17),1,0)</f>
        <v>1</v>
      </c>
      <c r="J17" s="2">
        <f>IF(AND((E17+F17)&gt;=D17,(E17-F17)&lt;=D17),1,0)</f>
        <v>0</v>
      </c>
      <c r="M17" s="4" t="s">
        <v>9</v>
      </c>
      <c r="T17" s="2"/>
    </row>
    <row r="18" spans="1:20" hidden="1">
      <c r="A18" s="7">
        <v>17</v>
      </c>
      <c r="B18" s="5">
        <v>20</v>
      </c>
      <c r="C18" s="5"/>
      <c r="D18" s="6"/>
      <c r="E18" s="8"/>
      <c r="F18" s="8"/>
      <c r="G18" s="8"/>
      <c r="H18" s="8"/>
      <c r="I18" s="2"/>
      <c r="J18" s="2"/>
      <c r="M18" s="4" t="s">
        <v>10</v>
      </c>
      <c r="R18" t="s">
        <v>23</v>
      </c>
      <c r="T18" s="8"/>
    </row>
    <row r="19" spans="1:20" hidden="1">
      <c r="A19" s="1">
        <v>18</v>
      </c>
      <c r="B19">
        <v>22</v>
      </c>
      <c r="C19" s="5"/>
      <c r="D19" s="6"/>
      <c r="E19" s="8"/>
      <c r="F19" s="8"/>
      <c r="G19" s="8"/>
      <c r="H19" s="8"/>
      <c r="I19" s="2"/>
      <c r="J19" s="2"/>
      <c r="M19" s="4" t="s">
        <v>11</v>
      </c>
      <c r="T19" s="8"/>
    </row>
    <row r="20" spans="1:20">
      <c r="A20" s="1">
        <v>19</v>
      </c>
      <c r="B20">
        <v>23</v>
      </c>
      <c r="C20" s="5">
        <v>19</v>
      </c>
      <c r="D20" s="6">
        <v>0.82045563167118041</v>
      </c>
      <c r="E20" s="8">
        <v>1.32</v>
      </c>
      <c r="F20" s="8">
        <v>0.12</v>
      </c>
      <c r="G20" s="8">
        <v>1.0900000000000001</v>
      </c>
      <c r="H20" s="8">
        <v>1.57</v>
      </c>
      <c r="I20" s="2">
        <f>IF(AND(D20&gt;=G20, D20&lt;=H20),1,0)</f>
        <v>0</v>
      </c>
      <c r="J20" s="2">
        <f>IF(AND((E20+F20)&gt;=D20,(E20-F20)&lt;=D20),1,0)</f>
        <v>0</v>
      </c>
      <c r="T20" s="8"/>
    </row>
    <row r="21" spans="1:20">
      <c r="A21" s="1">
        <v>20</v>
      </c>
      <c r="B21">
        <v>24</v>
      </c>
      <c r="C21" s="5">
        <v>7</v>
      </c>
      <c r="D21" s="6">
        <v>1.6090489087143538</v>
      </c>
      <c r="E21" s="8">
        <v>1.66</v>
      </c>
      <c r="F21" s="8">
        <v>0.09</v>
      </c>
      <c r="G21" s="8">
        <v>1.46</v>
      </c>
      <c r="H21" s="8">
        <v>1.82</v>
      </c>
      <c r="I21" s="2">
        <f>IF(AND(D21&gt;=G21, D21&lt;=H21),1,0)</f>
        <v>1</v>
      </c>
      <c r="J21" s="2">
        <f>IF(AND((E21+F21)&gt;=D21,(E21-F21)&lt;=D21),1,0)</f>
        <v>1</v>
      </c>
      <c r="M21" s="4" t="s">
        <v>14</v>
      </c>
      <c r="T21" s="2"/>
    </row>
    <row r="22" spans="1:20">
      <c r="A22" s="7">
        <v>21</v>
      </c>
      <c r="B22" s="5">
        <v>26</v>
      </c>
      <c r="C22" s="5">
        <v>22</v>
      </c>
      <c r="D22" s="6">
        <v>0.65317826987414374</v>
      </c>
      <c r="E22" s="8">
        <v>0.77</v>
      </c>
      <c r="F22" s="8">
        <v>0.09</v>
      </c>
      <c r="G22" s="8">
        <v>0.61</v>
      </c>
      <c r="H22" s="8">
        <v>0.96</v>
      </c>
      <c r="I22" s="2">
        <f>IF(AND(D22&gt;=G22, D22&lt;=H22),1,0)</f>
        <v>1</v>
      </c>
      <c r="J22" s="2">
        <f>IF(AND((E22+F22)&gt;=D22,(E22-F22)&lt;=D22),1,0)</f>
        <v>0</v>
      </c>
      <c r="T22" s="8"/>
    </row>
    <row r="23" spans="1:20" hidden="1">
      <c r="A23" s="1">
        <v>22</v>
      </c>
      <c r="B23">
        <v>28</v>
      </c>
      <c r="D23" s="6"/>
      <c r="E23" s="2"/>
      <c r="F23" s="2"/>
      <c r="G23" s="2"/>
      <c r="H23" s="2"/>
      <c r="I23" s="2"/>
      <c r="J23" s="2"/>
      <c r="M23" s="4" t="s">
        <v>5</v>
      </c>
      <c r="T23" s="2"/>
    </row>
    <row r="24" spans="1:20">
      <c r="A24" s="7">
        <v>23</v>
      </c>
      <c r="B24" s="5">
        <v>31</v>
      </c>
      <c r="C24" s="5">
        <v>4</v>
      </c>
      <c r="D24" s="6">
        <v>3.5845148956507886</v>
      </c>
      <c r="E24" s="8">
        <v>3.11</v>
      </c>
      <c r="F24" s="8">
        <v>0.13</v>
      </c>
      <c r="G24" s="8">
        <v>2.84</v>
      </c>
      <c r="H24" s="8">
        <v>3.37</v>
      </c>
      <c r="I24" s="2">
        <f>IF(AND(D24&gt;=G24, D24&lt;=H24),1,0)</f>
        <v>0</v>
      </c>
      <c r="J24" s="2">
        <f>IF(AND((E24+F24)&gt;=D24,(E24-F24)&lt;=D24),1,0)</f>
        <v>0</v>
      </c>
      <c r="M24" s="4" t="s">
        <v>6</v>
      </c>
      <c r="T24" s="8"/>
    </row>
    <row r="25" spans="1:20" hidden="1">
      <c r="A25" s="1">
        <v>24</v>
      </c>
      <c r="B25">
        <v>35</v>
      </c>
      <c r="C25" s="5"/>
      <c r="D25" s="6"/>
      <c r="E25" s="8"/>
      <c r="F25" s="8"/>
      <c r="G25" s="8"/>
      <c r="H25" s="8"/>
      <c r="I25" s="2"/>
      <c r="J25" s="2"/>
      <c r="M25" s="4" t="s">
        <v>7</v>
      </c>
      <c r="T25" s="2"/>
    </row>
    <row r="26" spans="1:20">
      <c r="A26" s="1">
        <v>25</v>
      </c>
      <c r="B26">
        <v>38</v>
      </c>
      <c r="C26" s="5">
        <v>31</v>
      </c>
      <c r="D26" s="6">
        <v>4.3810737613509643</v>
      </c>
      <c r="E26" s="8">
        <v>4.07</v>
      </c>
      <c r="F26" s="8">
        <v>0.12</v>
      </c>
      <c r="G26" s="8">
        <v>3.85</v>
      </c>
      <c r="H26" s="8">
        <v>4.3</v>
      </c>
      <c r="I26" s="2">
        <f>IF(AND(D26&gt;=G26, D26&lt;=H26),1,0)</f>
        <v>0</v>
      </c>
      <c r="J26" s="2">
        <f>IF(AND((E26+F26)&gt;=D26,(E26-F26)&lt;=D26),1,0)</f>
        <v>0</v>
      </c>
      <c r="M26" s="4" t="s">
        <v>8</v>
      </c>
      <c r="T26" s="8"/>
    </row>
    <row r="27" spans="1:20">
      <c r="A27" s="7">
        <v>26</v>
      </c>
      <c r="B27" s="5">
        <v>40</v>
      </c>
      <c r="C27" s="5">
        <v>26</v>
      </c>
      <c r="D27" s="6">
        <v>1.9436036323084276</v>
      </c>
      <c r="E27" s="8">
        <v>1.91</v>
      </c>
      <c r="F27" s="8">
        <v>0.09</v>
      </c>
      <c r="G27" s="8">
        <v>1.74</v>
      </c>
      <c r="H27" s="8">
        <v>2.08</v>
      </c>
      <c r="I27" s="2">
        <f>IF(AND(D27&gt;=G27, D27&lt;=H27),1,0)</f>
        <v>1</v>
      </c>
      <c r="J27" s="2">
        <f>IF(AND((E27+F27)&gt;=D27,(E27-F27)&lt;=D27),1,0)</f>
        <v>1</v>
      </c>
      <c r="M27" s="4" t="s">
        <v>9</v>
      </c>
      <c r="T27" s="2"/>
    </row>
    <row r="28" spans="1:20">
      <c r="A28" s="7">
        <v>27</v>
      </c>
      <c r="B28" s="5">
        <v>41</v>
      </c>
      <c r="C28" s="5">
        <v>12</v>
      </c>
      <c r="D28" s="6">
        <v>0.64521268121714193</v>
      </c>
      <c r="E28" s="8">
        <v>0.91</v>
      </c>
      <c r="F28" s="8">
        <v>0.1</v>
      </c>
      <c r="G28" s="8">
        <v>0.74</v>
      </c>
      <c r="H28" s="8">
        <v>1.1000000000000001</v>
      </c>
      <c r="I28" s="2">
        <f>IF(AND(D28&gt;=G28, D28&lt;=H28),1,0)</f>
        <v>0</v>
      </c>
      <c r="J28" s="2">
        <f>IF(AND((E28+F28)&gt;=D28,(E28-F28)&lt;=D28),1,0)</f>
        <v>0</v>
      </c>
      <c r="M28" s="4" t="s">
        <v>10</v>
      </c>
      <c r="T28" s="8"/>
    </row>
    <row r="29" spans="1:20">
      <c r="A29" s="7">
        <v>28</v>
      </c>
      <c r="B29" s="5">
        <v>42</v>
      </c>
      <c r="C29" s="5">
        <v>38</v>
      </c>
      <c r="D29" s="6">
        <v>1.1470447666082524</v>
      </c>
      <c r="E29" s="8">
        <v>1.25</v>
      </c>
      <c r="F29" s="8">
        <v>0.09</v>
      </c>
      <c r="G29" s="8">
        <v>1.07</v>
      </c>
      <c r="H29" s="8">
        <v>1.41</v>
      </c>
      <c r="I29" s="2">
        <f>IF(AND(D29&gt;=G29, D29&lt;=H29),1,0)</f>
        <v>1</v>
      </c>
      <c r="J29" s="2">
        <f>IF(AND((E29+F29)&gt;=D29,(E29-F29)&lt;=D29),1,0)</f>
        <v>0</v>
      </c>
      <c r="M29" s="4" t="s">
        <v>11</v>
      </c>
      <c r="T29" s="8"/>
    </row>
    <row r="30" spans="1:20" hidden="1">
      <c r="A30" s="7">
        <v>29</v>
      </c>
      <c r="B30" s="5">
        <v>47</v>
      </c>
      <c r="C30" s="5"/>
      <c r="D30" s="6"/>
      <c r="E30" s="8"/>
      <c r="F30" s="8"/>
      <c r="G30" s="8"/>
      <c r="H30" s="8"/>
      <c r="I30" s="2"/>
      <c r="J30" s="2"/>
      <c r="M30" s="15"/>
      <c r="T30" s="8"/>
    </row>
    <row r="31" spans="1:20" hidden="1">
      <c r="A31" s="1">
        <v>30</v>
      </c>
      <c r="B31">
        <v>49</v>
      </c>
      <c r="D31" s="6"/>
      <c r="E31" s="2"/>
      <c r="F31" s="2"/>
      <c r="G31" s="2"/>
      <c r="H31" s="2"/>
      <c r="I31" s="2"/>
      <c r="J31" s="2"/>
      <c r="M31" s="4" t="s">
        <v>12</v>
      </c>
      <c r="T31" s="8"/>
    </row>
    <row r="32" spans="1:20">
      <c r="A32" s="7">
        <v>31</v>
      </c>
      <c r="B32" s="5">
        <v>51</v>
      </c>
      <c r="C32" s="5">
        <v>10</v>
      </c>
      <c r="D32" s="6">
        <v>0.81249004301417882</v>
      </c>
      <c r="E32" s="8">
        <v>1.22</v>
      </c>
      <c r="F32" s="8">
        <v>0.17</v>
      </c>
      <c r="G32" s="8">
        <v>0.93</v>
      </c>
      <c r="H32" s="8">
        <v>1.55</v>
      </c>
      <c r="I32" s="2">
        <f>IF(AND(D32&gt;=G32, D32&lt;=H32),1,0)</f>
        <v>0</v>
      </c>
      <c r="J32" s="2">
        <f>IF(AND((E32+F32)&gt;=D32,(E32-F32)&lt;=D32),1,0)</f>
        <v>0</v>
      </c>
      <c r="T32" s="8"/>
    </row>
    <row r="33" spans="1:20">
      <c r="A33" s="1">
        <v>32</v>
      </c>
      <c r="B33">
        <v>53</v>
      </c>
      <c r="C33">
        <v>23</v>
      </c>
      <c r="D33" s="6">
        <v>1.9993627529074398</v>
      </c>
      <c r="E33" s="2">
        <v>2.71</v>
      </c>
      <c r="F33" s="2">
        <v>0.13</v>
      </c>
      <c r="G33" s="2">
        <v>2.44</v>
      </c>
      <c r="H33" s="2">
        <v>2.96</v>
      </c>
      <c r="I33" s="2">
        <f>IF(AND(D33&gt;=G33, D33&lt;=H33),1,0)</f>
        <v>0</v>
      </c>
      <c r="J33" s="2">
        <f>IF(AND((E33+F33)&gt;=D33,(E33-F33)&lt;=D33),1,0)</f>
        <v>0</v>
      </c>
      <c r="T33" s="8"/>
    </row>
    <row r="34" spans="1:20" hidden="1">
      <c r="A34" s="1">
        <v>33</v>
      </c>
      <c r="B34">
        <v>57</v>
      </c>
      <c r="C34" s="5"/>
      <c r="D34" s="6"/>
      <c r="E34" s="2"/>
      <c r="F34" s="2"/>
      <c r="G34" s="2"/>
      <c r="H34" s="2"/>
      <c r="I34" s="2"/>
      <c r="J34" s="2"/>
      <c r="T34" s="8"/>
    </row>
    <row r="35" spans="1:20" hidden="1">
      <c r="A35" s="1">
        <v>34</v>
      </c>
      <c r="B35">
        <v>58</v>
      </c>
      <c r="C35" s="5"/>
      <c r="D35" s="6"/>
      <c r="E35" s="8"/>
      <c r="F35" s="8"/>
      <c r="G35" s="8"/>
      <c r="H35" s="8"/>
      <c r="I35" s="2"/>
      <c r="J35" s="2"/>
      <c r="T35" s="2"/>
    </row>
    <row r="36" spans="1:20" hidden="1">
      <c r="A36" s="1">
        <v>35</v>
      </c>
      <c r="B36">
        <v>59</v>
      </c>
      <c r="C36" s="5"/>
      <c r="D36" s="6"/>
      <c r="E36" s="8"/>
      <c r="F36" s="8"/>
      <c r="G36" s="8"/>
      <c r="H36" s="8"/>
      <c r="I36" s="2"/>
      <c r="J36" s="2"/>
      <c r="T36" s="8"/>
    </row>
    <row r="37" spans="1:20">
      <c r="A37" s="1">
        <v>36</v>
      </c>
      <c r="B37">
        <v>65</v>
      </c>
      <c r="C37" s="5">
        <v>47</v>
      </c>
      <c r="D37" s="6">
        <v>1.1470447666082524</v>
      </c>
      <c r="E37" s="8">
        <v>1.1499999999999999</v>
      </c>
      <c r="F37" s="8">
        <v>7.0000000000000007E-2</v>
      </c>
      <c r="G37" s="8">
        <v>0.99</v>
      </c>
      <c r="H37" s="8">
        <v>1.27</v>
      </c>
      <c r="I37" s="2">
        <f>IF(AND(D37&gt;=G37, D37&lt;=H37),1,0)</f>
        <v>1</v>
      </c>
      <c r="J37" s="2">
        <f>IF(AND((E37+F37)&gt;=D37,(E37-F37)&lt;=D37),1,0)</f>
        <v>1</v>
      </c>
      <c r="T37" s="8"/>
    </row>
    <row r="38" spans="1:20" hidden="1">
      <c r="A38" s="7">
        <v>37</v>
      </c>
      <c r="B38" s="5">
        <v>66</v>
      </c>
      <c r="C38" s="5"/>
      <c r="D38" s="6"/>
      <c r="E38" s="8"/>
      <c r="F38" s="8"/>
      <c r="G38" s="8"/>
      <c r="H38" s="8"/>
      <c r="I38" s="2"/>
      <c r="J38" s="2"/>
      <c r="T38" s="8"/>
    </row>
    <row r="39" spans="1:20">
      <c r="A39" s="7">
        <v>38</v>
      </c>
      <c r="B39" s="5">
        <v>70</v>
      </c>
      <c r="C39" s="5">
        <v>8</v>
      </c>
      <c r="D39" s="6">
        <v>4.7793531942010512</v>
      </c>
      <c r="E39" s="8">
        <v>4.76</v>
      </c>
      <c r="F39" s="8">
        <v>0.13</v>
      </c>
      <c r="G39" s="8">
        <v>4.51</v>
      </c>
      <c r="H39" s="8">
        <v>5</v>
      </c>
      <c r="I39" s="2">
        <f t="shared" ref="I39:I45" si="0">IF(AND(D39&gt;=G39, D39&lt;=H39),1,0)</f>
        <v>1</v>
      </c>
      <c r="J39" s="2">
        <f t="shared" ref="J39:J45" si="1">IF(AND((E39+F39)&gt;=D39,(E39-F39)&lt;=D39),1,0)</f>
        <v>1</v>
      </c>
      <c r="T39" s="8"/>
    </row>
    <row r="40" spans="1:20">
      <c r="A40" s="1">
        <v>39</v>
      </c>
      <c r="B40">
        <v>71</v>
      </c>
      <c r="C40">
        <v>11</v>
      </c>
      <c r="D40" s="6">
        <v>2.3896765971005256E-2</v>
      </c>
      <c r="E40" s="2">
        <v>0.6</v>
      </c>
      <c r="F40" s="2">
        <v>0.16</v>
      </c>
      <c r="G40" s="2">
        <v>0.35</v>
      </c>
      <c r="H40" s="2">
        <v>0.92</v>
      </c>
      <c r="I40" s="2">
        <f t="shared" si="0"/>
        <v>0</v>
      </c>
      <c r="J40" s="2">
        <f t="shared" si="1"/>
        <v>0</v>
      </c>
      <c r="T40" s="8"/>
    </row>
    <row r="41" spans="1:20">
      <c r="A41" s="1">
        <v>40</v>
      </c>
      <c r="B41">
        <v>78</v>
      </c>
      <c r="C41" s="5">
        <v>15</v>
      </c>
      <c r="D41" s="6">
        <v>0.82045563167118041</v>
      </c>
      <c r="E41" s="2">
        <v>1.06</v>
      </c>
      <c r="F41" s="2">
        <v>0.1</v>
      </c>
      <c r="G41" s="2">
        <v>0.86</v>
      </c>
      <c r="H41" s="2">
        <v>1.25</v>
      </c>
      <c r="I41" s="2">
        <f t="shared" si="0"/>
        <v>0</v>
      </c>
      <c r="J41" s="2">
        <f t="shared" si="1"/>
        <v>0</v>
      </c>
      <c r="T41" s="2"/>
    </row>
    <row r="42" spans="1:20">
      <c r="A42" s="7">
        <v>41</v>
      </c>
      <c r="B42" s="5">
        <v>83</v>
      </c>
      <c r="C42" s="5">
        <v>16</v>
      </c>
      <c r="D42" s="6">
        <v>5.5759120599012268</v>
      </c>
      <c r="E42" s="8">
        <v>4.6100000000000003</v>
      </c>
      <c r="F42" s="8">
        <v>0.36</v>
      </c>
      <c r="G42" s="8">
        <v>3.91</v>
      </c>
      <c r="H42" s="8">
        <v>5.17</v>
      </c>
      <c r="I42" s="2">
        <f t="shared" si="0"/>
        <v>0</v>
      </c>
      <c r="J42" s="2">
        <f t="shared" si="1"/>
        <v>0</v>
      </c>
      <c r="T42" s="8"/>
    </row>
    <row r="43" spans="1:20">
      <c r="A43" s="7">
        <v>42</v>
      </c>
      <c r="B43" s="5">
        <v>84</v>
      </c>
      <c r="C43" s="5">
        <v>14</v>
      </c>
      <c r="D43" s="6">
        <v>2.4056077744145292</v>
      </c>
      <c r="E43" s="8">
        <v>2.41</v>
      </c>
      <c r="F43" s="8">
        <v>0.13</v>
      </c>
      <c r="G43" s="8">
        <v>2.2000000000000002</v>
      </c>
      <c r="H43" s="8">
        <v>2.69</v>
      </c>
      <c r="I43" s="2">
        <f t="shared" si="0"/>
        <v>1</v>
      </c>
      <c r="J43" s="2">
        <f t="shared" si="1"/>
        <v>1</v>
      </c>
      <c r="T43" s="2"/>
    </row>
    <row r="44" spans="1:20">
      <c r="A44" s="7">
        <v>43</v>
      </c>
      <c r="B44" s="5">
        <v>89</v>
      </c>
      <c r="C44" s="5">
        <v>20</v>
      </c>
      <c r="D44" s="6">
        <v>3.186235462800701E-2</v>
      </c>
      <c r="E44" s="8">
        <v>0.63</v>
      </c>
      <c r="F44" s="8">
        <v>0.12</v>
      </c>
      <c r="G44" s="8">
        <v>0.45</v>
      </c>
      <c r="H44" s="8">
        <v>0.85</v>
      </c>
      <c r="I44" s="2">
        <f t="shared" si="0"/>
        <v>0</v>
      </c>
      <c r="J44" s="2">
        <f t="shared" si="1"/>
        <v>0</v>
      </c>
      <c r="T44" s="8"/>
    </row>
    <row r="45" spans="1:20">
      <c r="A45" s="7">
        <v>44</v>
      </c>
      <c r="B45" s="5">
        <v>90</v>
      </c>
      <c r="C45" s="5">
        <v>28</v>
      </c>
      <c r="D45" s="6">
        <v>0.81249004301417882</v>
      </c>
      <c r="E45" s="8">
        <v>0.92</v>
      </c>
      <c r="F45" s="8">
        <v>0.1</v>
      </c>
      <c r="G45" s="8">
        <v>0.76</v>
      </c>
      <c r="H45" s="8">
        <v>1.1299999999999999</v>
      </c>
      <c r="I45" s="2">
        <f t="shared" si="0"/>
        <v>1</v>
      </c>
      <c r="J45" s="2">
        <f t="shared" si="1"/>
        <v>0</v>
      </c>
      <c r="T45" s="8"/>
    </row>
    <row r="46" spans="1:20" hidden="1">
      <c r="A46" s="7">
        <v>45</v>
      </c>
      <c r="B46" s="5">
        <v>95</v>
      </c>
      <c r="C46" s="5"/>
      <c r="D46" s="6"/>
      <c r="E46" s="8"/>
      <c r="F46" s="8"/>
      <c r="G46" s="8"/>
      <c r="H46" s="8"/>
      <c r="I46" s="2"/>
      <c r="J46" s="2"/>
      <c r="T46" s="8"/>
    </row>
    <row r="47" spans="1:20">
      <c r="A47" s="1">
        <v>46</v>
      </c>
      <c r="B47">
        <v>97</v>
      </c>
      <c r="C47">
        <v>3</v>
      </c>
      <c r="D47" s="6">
        <v>0.82045563167118041</v>
      </c>
      <c r="E47" s="2">
        <v>1.02</v>
      </c>
      <c r="F47" s="2">
        <v>0.08</v>
      </c>
      <c r="G47" s="2">
        <v>0.87</v>
      </c>
      <c r="H47" s="2">
        <v>1.18</v>
      </c>
      <c r="I47" s="2">
        <f>IF(AND(D47&gt;=G47, D47&lt;=H47),1,0)</f>
        <v>0</v>
      </c>
      <c r="J47" s="2">
        <f>IF(AND((E47+F47)&gt;=D47,(E47-F47)&lt;=D47),1,0)</f>
        <v>0</v>
      </c>
      <c r="T47" s="2"/>
    </row>
    <row r="48" spans="1:20">
      <c r="A48" s="7">
        <v>47</v>
      </c>
      <c r="B48" s="5">
        <v>98</v>
      </c>
      <c r="C48" s="5">
        <v>40</v>
      </c>
      <c r="D48" s="6">
        <v>1.5931177314003504</v>
      </c>
      <c r="E48" s="8">
        <v>1.69</v>
      </c>
      <c r="F48" s="8">
        <v>0.12</v>
      </c>
      <c r="G48" s="8">
        <v>1.45</v>
      </c>
      <c r="H48" s="8">
        <v>1.92</v>
      </c>
      <c r="I48" s="2">
        <f>IF(AND(D48&gt;=G48, D48&lt;=H48),1,0)</f>
        <v>1</v>
      </c>
      <c r="J48" s="2">
        <f>IF(AND((E48+F48)&gt;=D48,(E48-F48)&lt;=D48),1,0)</f>
        <v>1</v>
      </c>
      <c r="T48" s="8"/>
    </row>
    <row r="49" spans="1:20" hidden="1">
      <c r="A49" s="1">
        <v>48</v>
      </c>
      <c r="B49">
        <v>100</v>
      </c>
      <c r="C49" s="5"/>
      <c r="D49" s="6"/>
      <c r="E49" s="8"/>
      <c r="F49" s="8"/>
      <c r="G49" s="8"/>
      <c r="H49" s="8"/>
      <c r="I49" s="2"/>
      <c r="J49" s="2"/>
      <c r="T49" s="2"/>
    </row>
    <row r="50" spans="1:20">
      <c r="A50" s="1">
        <v>49</v>
      </c>
      <c r="B50">
        <v>104</v>
      </c>
      <c r="C50" s="5">
        <v>41</v>
      </c>
      <c r="D50" s="6">
        <v>2.413573363071531</v>
      </c>
      <c r="E50" s="8">
        <v>2.38</v>
      </c>
      <c r="F50" s="8">
        <v>0.1</v>
      </c>
      <c r="G50" s="8">
        <v>2.19</v>
      </c>
      <c r="H50" s="8">
        <v>2.57</v>
      </c>
      <c r="I50" s="2">
        <f>IF(AND(D50&gt;=G50, D50&lt;=H50),1,0)</f>
        <v>1</v>
      </c>
      <c r="J50" s="2">
        <f>IF(AND((E50+F50)&gt;=D50,(E50-F50)&lt;=D50),1,0)</f>
        <v>1</v>
      </c>
      <c r="T50" s="8"/>
    </row>
    <row r="51" spans="1:20" hidden="1">
      <c r="A51" s="1">
        <v>50</v>
      </c>
      <c r="B51">
        <v>106</v>
      </c>
      <c r="D51" s="6"/>
      <c r="E51" s="2"/>
      <c r="F51" s="2"/>
      <c r="G51" s="2"/>
      <c r="H51" s="2"/>
      <c r="I51" s="2"/>
      <c r="J51" s="2"/>
      <c r="T51" s="2"/>
    </row>
    <row r="52" spans="1:20">
      <c r="A52" s="7" t="s">
        <v>4</v>
      </c>
      <c r="B52" s="5">
        <v>0</v>
      </c>
      <c r="C52" s="5">
        <v>6</v>
      </c>
      <c r="D52" s="6">
        <v>2.0152939302214432</v>
      </c>
      <c r="E52" s="8">
        <v>1.85</v>
      </c>
      <c r="F52" s="8">
        <v>0.09</v>
      </c>
      <c r="G52" s="8">
        <v>1.7</v>
      </c>
      <c r="H52" s="8">
        <v>2.04</v>
      </c>
      <c r="I52" s="2">
        <f t="shared" ref="I52:I72" si="2">IF(AND(D52&gt;=G52, D52&lt;=H52),1,0)</f>
        <v>1</v>
      </c>
      <c r="J52" s="2">
        <f t="shared" ref="J52:J72" si="3">IF(AND((E52+F52)&gt;=D52,(E52-F52)&lt;=D52),1,0)</f>
        <v>0</v>
      </c>
      <c r="T52" s="8"/>
    </row>
    <row r="53" spans="1:20">
      <c r="A53" s="20"/>
      <c r="C53">
        <v>97</v>
      </c>
      <c r="D53" s="6">
        <v>4.7793531942010512</v>
      </c>
      <c r="E53" s="2">
        <v>4.0999999999999996</v>
      </c>
      <c r="F53" s="2">
        <v>0.24</v>
      </c>
      <c r="G53" s="2">
        <v>3.63</v>
      </c>
      <c r="H53" s="2">
        <v>4.5199999999999996</v>
      </c>
      <c r="I53" s="2">
        <f t="shared" si="2"/>
        <v>0</v>
      </c>
      <c r="J53" s="2">
        <f t="shared" si="3"/>
        <v>0</v>
      </c>
    </row>
    <row r="54" spans="1:20">
      <c r="C54" s="5">
        <v>70</v>
      </c>
      <c r="D54" s="6">
        <v>3.9827943285008764</v>
      </c>
      <c r="E54" s="8">
        <v>3.75</v>
      </c>
      <c r="F54" s="8">
        <v>0.21</v>
      </c>
      <c r="G54" s="8">
        <v>3.33</v>
      </c>
      <c r="H54" s="8">
        <v>4.09</v>
      </c>
      <c r="I54" s="2">
        <f t="shared" si="2"/>
        <v>1</v>
      </c>
      <c r="J54" s="2">
        <f t="shared" si="3"/>
        <v>0</v>
      </c>
    </row>
    <row r="55" spans="1:20">
      <c r="A55" s="19"/>
      <c r="C55" s="5">
        <v>51</v>
      </c>
      <c r="D55" s="6">
        <v>3.0269236896606659</v>
      </c>
      <c r="E55" s="8">
        <v>2.96</v>
      </c>
      <c r="F55" s="8">
        <v>0.13</v>
      </c>
      <c r="G55" s="8">
        <v>2.7</v>
      </c>
      <c r="H55" s="8">
        <v>3.19</v>
      </c>
      <c r="I55" s="2">
        <f t="shared" si="2"/>
        <v>1</v>
      </c>
      <c r="J55" s="2">
        <f t="shared" si="3"/>
        <v>1</v>
      </c>
    </row>
    <row r="56" spans="1:20">
      <c r="C56">
        <v>71</v>
      </c>
      <c r="D56" s="6">
        <v>2.6286442568105781</v>
      </c>
      <c r="E56" s="2">
        <v>2.44</v>
      </c>
      <c r="F56" s="2">
        <v>0.11</v>
      </c>
      <c r="G56" s="2">
        <v>2.21</v>
      </c>
      <c r="H56" s="2">
        <v>2.64</v>
      </c>
      <c r="I56" s="2">
        <f t="shared" si="2"/>
        <v>1</v>
      </c>
      <c r="J56" s="2">
        <f t="shared" si="3"/>
        <v>0</v>
      </c>
    </row>
    <row r="57" spans="1:20">
      <c r="C57" s="5">
        <v>84</v>
      </c>
      <c r="D57" s="6">
        <v>2.3976421857575274</v>
      </c>
      <c r="E57" s="8">
        <v>2.41</v>
      </c>
      <c r="F57" s="8">
        <v>0.1</v>
      </c>
      <c r="G57" s="8">
        <v>2.23</v>
      </c>
      <c r="H57" s="8">
        <v>2.61</v>
      </c>
      <c r="I57" s="2">
        <f t="shared" si="2"/>
        <v>1</v>
      </c>
      <c r="J57" s="2">
        <f t="shared" si="3"/>
        <v>1</v>
      </c>
    </row>
    <row r="58" spans="1:20">
      <c r="C58">
        <v>78</v>
      </c>
      <c r="D58" s="6">
        <v>2.3896765971005256</v>
      </c>
      <c r="E58" s="2">
        <v>2.2200000000000002</v>
      </c>
      <c r="F58" s="2">
        <v>0.1</v>
      </c>
      <c r="G58" s="2">
        <v>2.0299999999999998</v>
      </c>
      <c r="H58" s="2">
        <v>2.41</v>
      </c>
      <c r="I58" s="2">
        <f t="shared" si="2"/>
        <v>1</v>
      </c>
      <c r="J58" s="2">
        <f t="shared" si="3"/>
        <v>0</v>
      </c>
    </row>
    <row r="59" spans="1:20">
      <c r="C59" s="5">
        <v>83</v>
      </c>
      <c r="D59" s="6">
        <v>2.2303648239604907</v>
      </c>
      <c r="E59" s="8">
        <v>2.2999999999999998</v>
      </c>
      <c r="F59" s="8">
        <v>0.09</v>
      </c>
      <c r="G59" s="8">
        <v>2.13</v>
      </c>
      <c r="H59" s="8">
        <v>2.4900000000000002</v>
      </c>
      <c r="I59" s="2">
        <f t="shared" si="2"/>
        <v>1</v>
      </c>
      <c r="J59" s="2">
        <f t="shared" si="3"/>
        <v>1</v>
      </c>
    </row>
    <row r="60" spans="1:20">
      <c r="C60" s="5">
        <v>89</v>
      </c>
      <c r="D60" s="6">
        <v>1.9993627529074398</v>
      </c>
      <c r="E60" s="8">
        <v>2</v>
      </c>
      <c r="F60" s="8">
        <v>0.12</v>
      </c>
      <c r="G60" s="8">
        <v>1.76</v>
      </c>
      <c r="H60" s="8">
        <v>2.2000000000000002</v>
      </c>
      <c r="I60" s="2">
        <f t="shared" si="2"/>
        <v>1</v>
      </c>
      <c r="J60" s="2">
        <f t="shared" si="3"/>
        <v>1</v>
      </c>
    </row>
    <row r="61" spans="1:20">
      <c r="C61">
        <v>106</v>
      </c>
      <c r="D61" s="2">
        <v>1.9913971642504382</v>
      </c>
      <c r="E61" s="2">
        <v>0.1</v>
      </c>
      <c r="F61" s="2">
        <v>1.97</v>
      </c>
      <c r="G61" s="2">
        <v>2.36</v>
      </c>
      <c r="I61" s="2">
        <f t="shared" si="2"/>
        <v>0</v>
      </c>
      <c r="J61" s="2">
        <f t="shared" si="3"/>
        <v>1</v>
      </c>
    </row>
    <row r="62" spans="1:20">
      <c r="A62" s="9"/>
      <c r="B62" s="9"/>
      <c r="C62" s="9">
        <v>53</v>
      </c>
      <c r="D62" s="18">
        <v>1.6170144973713558</v>
      </c>
      <c r="E62" s="11">
        <v>1.68</v>
      </c>
      <c r="F62" s="11">
        <v>0.09</v>
      </c>
      <c r="G62" s="11">
        <v>1.5</v>
      </c>
      <c r="H62" s="11">
        <v>1.83</v>
      </c>
      <c r="I62" s="2">
        <f t="shared" si="2"/>
        <v>1</v>
      </c>
      <c r="J62" s="2">
        <f t="shared" si="3"/>
        <v>1</v>
      </c>
    </row>
    <row r="63" spans="1:20">
      <c r="A63" s="5"/>
      <c r="B63" s="5"/>
      <c r="C63" s="5">
        <v>58</v>
      </c>
      <c r="D63" s="6">
        <v>1.5931177314003504</v>
      </c>
      <c r="E63" s="8">
        <v>1.58</v>
      </c>
      <c r="F63" s="8">
        <v>0.08</v>
      </c>
      <c r="G63" s="8">
        <v>1.43</v>
      </c>
      <c r="H63" s="8">
        <v>1.72</v>
      </c>
      <c r="I63" s="2">
        <f t="shared" si="2"/>
        <v>1</v>
      </c>
      <c r="J63" s="2">
        <f t="shared" si="3"/>
        <v>1</v>
      </c>
    </row>
    <row r="64" spans="1:20">
      <c r="C64" s="5">
        <v>90</v>
      </c>
      <c r="D64" s="6">
        <v>1.5931177314003504</v>
      </c>
      <c r="E64" s="2">
        <v>1.65</v>
      </c>
      <c r="F64" s="2">
        <v>0.14000000000000001</v>
      </c>
      <c r="G64" s="2">
        <v>1.42</v>
      </c>
      <c r="H64" s="2">
        <v>1.92</v>
      </c>
      <c r="I64" s="2">
        <f t="shared" si="2"/>
        <v>1</v>
      </c>
      <c r="J64" s="2">
        <f t="shared" si="3"/>
        <v>1</v>
      </c>
    </row>
    <row r="65" spans="1:10">
      <c r="C65" s="5">
        <v>100</v>
      </c>
      <c r="D65" s="6">
        <v>1.5931177314003504</v>
      </c>
      <c r="E65" s="8">
        <v>1.31</v>
      </c>
      <c r="F65" s="8">
        <v>0.08</v>
      </c>
      <c r="G65" s="8">
        <v>1.1499999999999999</v>
      </c>
      <c r="H65" s="8">
        <v>1.47</v>
      </c>
      <c r="I65" s="2">
        <f t="shared" si="2"/>
        <v>0</v>
      </c>
      <c r="J65" s="2">
        <f t="shared" si="3"/>
        <v>0</v>
      </c>
    </row>
    <row r="66" spans="1:10">
      <c r="C66">
        <v>57</v>
      </c>
      <c r="D66" s="6">
        <v>0.81249004301417882</v>
      </c>
      <c r="E66" s="2">
        <v>0.89</v>
      </c>
      <c r="F66" s="2">
        <v>0.09</v>
      </c>
      <c r="G66" s="2">
        <v>0.73</v>
      </c>
      <c r="H66" s="2">
        <v>1.0900000000000001</v>
      </c>
      <c r="I66" s="2">
        <f t="shared" si="2"/>
        <v>1</v>
      </c>
      <c r="J66" s="2">
        <f t="shared" si="3"/>
        <v>1</v>
      </c>
    </row>
    <row r="67" spans="1:10">
      <c r="C67" s="5">
        <v>98</v>
      </c>
      <c r="D67" s="6">
        <v>0.8045244543571769</v>
      </c>
      <c r="E67" s="8">
        <v>0.77</v>
      </c>
      <c r="F67" s="8">
        <v>7.0000000000000007E-2</v>
      </c>
      <c r="G67" s="8">
        <v>0.64</v>
      </c>
      <c r="H67" s="8">
        <v>0.9</v>
      </c>
      <c r="I67" s="2">
        <f t="shared" si="2"/>
        <v>1</v>
      </c>
      <c r="J67" s="2">
        <f t="shared" si="3"/>
        <v>1</v>
      </c>
    </row>
    <row r="68" spans="1:10">
      <c r="C68">
        <v>104</v>
      </c>
      <c r="D68" s="6">
        <v>0.7965588657001752</v>
      </c>
      <c r="E68" s="2">
        <v>1.02</v>
      </c>
      <c r="F68" s="2">
        <v>0.11</v>
      </c>
      <c r="G68" s="2">
        <v>0.84</v>
      </c>
      <c r="H68" s="2">
        <v>1.22</v>
      </c>
      <c r="I68" s="2">
        <f t="shared" si="2"/>
        <v>0</v>
      </c>
      <c r="J68" s="2">
        <f t="shared" si="3"/>
        <v>0</v>
      </c>
    </row>
    <row r="69" spans="1:10">
      <c r="C69">
        <v>59</v>
      </c>
      <c r="D69" s="6">
        <v>0.64521268121714193</v>
      </c>
      <c r="E69" s="2">
        <v>0.69</v>
      </c>
      <c r="F69" s="2">
        <v>0.1</v>
      </c>
      <c r="G69" s="2">
        <v>0.51</v>
      </c>
      <c r="H69" s="2">
        <v>0.87</v>
      </c>
      <c r="I69" s="2">
        <f t="shared" si="2"/>
        <v>1</v>
      </c>
      <c r="J69" s="2">
        <f t="shared" si="3"/>
        <v>1</v>
      </c>
    </row>
    <row r="70" spans="1:10">
      <c r="C70" s="5">
        <v>95</v>
      </c>
      <c r="D70" s="6">
        <v>0.63724709256014023</v>
      </c>
      <c r="E70" s="8">
        <v>0.77</v>
      </c>
      <c r="F70" s="8">
        <v>0.11</v>
      </c>
      <c r="G70" s="8">
        <v>0.6</v>
      </c>
      <c r="H70" s="8">
        <v>1.01</v>
      </c>
      <c r="I70" s="2">
        <f t="shared" si="2"/>
        <v>1</v>
      </c>
      <c r="J70" s="2">
        <f t="shared" si="3"/>
        <v>0</v>
      </c>
    </row>
    <row r="71" spans="1:10">
      <c r="C71">
        <v>65</v>
      </c>
      <c r="D71" s="6">
        <v>0.52572885136211567</v>
      </c>
      <c r="E71" s="2">
        <v>0.66</v>
      </c>
      <c r="F71" s="2">
        <v>0.08</v>
      </c>
      <c r="G71" s="2">
        <v>0.51</v>
      </c>
      <c r="H71" s="2">
        <v>0.83</v>
      </c>
      <c r="I71" s="2">
        <f t="shared" si="2"/>
        <v>1</v>
      </c>
      <c r="J71" s="2">
        <f t="shared" si="3"/>
        <v>0</v>
      </c>
    </row>
    <row r="72" spans="1:10">
      <c r="C72" s="5">
        <v>66</v>
      </c>
      <c r="D72" s="6">
        <v>2.3896765971005256E-2</v>
      </c>
      <c r="E72" s="8">
        <v>0.74</v>
      </c>
      <c r="F72" s="8">
        <v>0.19</v>
      </c>
      <c r="G72" s="8">
        <v>0.47</v>
      </c>
      <c r="H72" s="8">
        <v>1.1200000000000001</v>
      </c>
      <c r="I72" s="2">
        <f t="shared" si="2"/>
        <v>0</v>
      </c>
      <c r="J72" s="2">
        <f t="shared" si="3"/>
        <v>0</v>
      </c>
    </row>
    <row r="73" spans="1:10" hidden="1">
      <c r="A73" s="5"/>
      <c r="B73" s="5"/>
      <c r="C73" s="5"/>
      <c r="D73" s="6"/>
      <c r="E73" s="8"/>
      <c r="F73" s="8"/>
      <c r="G73" s="8"/>
      <c r="H73" s="8"/>
      <c r="I73" s="2"/>
      <c r="J73" s="2"/>
    </row>
    <row r="74" spans="1:10" hidden="1">
      <c r="A74" s="5"/>
      <c r="B74" s="5"/>
      <c r="C74" s="5"/>
      <c r="D74" s="6"/>
      <c r="E74" s="8"/>
      <c r="F74" s="8"/>
      <c r="G74" s="8"/>
      <c r="H74" s="8"/>
      <c r="I74" s="2"/>
      <c r="J74" s="2"/>
    </row>
    <row r="75" spans="1:10" hidden="1">
      <c r="D75" s="6"/>
      <c r="E75" s="2"/>
      <c r="F75" s="2"/>
      <c r="G75" s="2"/>
      <c r="H75" s="2"/>
      <c r="I75" s="2"/>
      <c r="J75" s="2"/>
    </row>
    <row r="76" spans="1:10" hidden="1">
      <c r="A76" s="5"/>
      <c r="B76" s="5"/>
      <c r="C76" s="5"/>
      <c r="D76" s="6"/>
      <c r="E76" s="8"/>
      <c r="F76" s="8"/>
      <c r="G76" s="8"/>
      <c r="H76" s="8"/>
      <c r="I76" s="2"/>
      <c r="J76" s="2"/>
    </row>
    <row r="77" spans="1:10" hidden="1">
      <c r="A77" s="5"/>
      <c r="B77" s="5"/>
      <c r="C77" s="5"/>
      <c r="D77" s="6"/>
      <c r="E77" s="8"/>
      <c r="F77" s="8"/>
      <c r="G77" s="8"/>
      <c r="H77" s="8"/>
      <c r="I77" s="2"/>
      <c r="J77" s="2"/>
    </row>
    <row r="78" spans="1:10" hidden="1">
      <c r="D78" s="6"/>
      <c r="E78" s="2"/>
      <c r="F78" s="2"/>
      <c r="G78" s="2"/>
      <c r="H78" s="2"/>
      <c r="I78" s="2"/>
      <c r="J78" s="2"/>
    </row>
    <row r="79" spans="1:10" hidden="1">
      <c r="D79" s="6"/>
      <c r="E79" s="2"/>
      <c r="F79" s="2"/>
      <c r="G79" s="2"/>
      <c r="H79" s="2"/>
      <c r="I79" s="2"/>
      <c r="J79" s="2"/>
    </row>
    <row r="80" spans="1:10" hidden="1">
      <c r="D80" s="6"/>
      <c r="E80" s="2"/>
      <c r="F80" s="2"/>
      <c r="G80" s="2"/>
      <c r="H80" s="2"/>
      <c r="I80" s="2"/>
      <c r="J80" s="2"/>
    </row>
    <row r="81" spans="3:10" hidden="1">
      <c r="D81" s="6"/>
      <c r="E81" s="2"/>
      <c r="F81" s="2"/>
      <c r="G81" s="2"/>
      <c r="H81" s="2"/>
      <c r="I81" s="2"/>
      <c r="J81" s="2"/>
    </row>
    <row r="82" spans="3:10" hidden="1">
      <c r="C82" s="5"/>
      <c r="D82" s="6"/>
      <c r="E82" s="8"/>
      <c r="F82" s="8"/>
      <c r="G82" s="8"/>
      <c r="H82" s="8"/>
      <c r="I82" s="2"/>
      <c r="J82" s="2"/>
    </row>
    <row r="83" spans="3:10" hidden="1">
      <c r="C83" s="5"/>
      <c r="D83" s="6"/>
      <c r="E83" s="8"/>
      <c r="F83" s="8"/>
      <c r="G83" s="8"/>
      <c r="H83" s="8"/>
      <c r="I83" s="2"/>
      <c r="J83" s="2"/>
    </row>
    <row r="84" spans="3:10" hidden="1">
      <c r="C84" s="5"/>
      <c r="D84" s="6"/>
      <c r="E84" s="8"/>
      <c r="F84" s="8"/>
      <c r="G84" s="8"/>
      <c r="H84" s="8"/>
      <c r="I84" s="2"/>
      <c r="J84" s="2"/>
    </row>
    <row r="85" spans="3:10" hidden="1">
      <c r="D85" s="6"/>
      <c r="E85" s="2"/>
      <c r="F85" s="2"/>
      <c r="G85" s="2"/>
      <c r="H85" s="2"/>
      <c r="I85" s="2"/>
      <c r="J85" s="2"/>
    </row>
    <row r="86" spans="3:10" hidden="1">
      <c r="D86" s="6"/>
      <c r="E86" s="2"/>
      <c r="F86" s="2"/>
      <c r="G86" s="2"/>
      <c r="H86" s="2"/>
      <c r="I86" s="2"/>
      <c r="J86" s="2"/>
    </row>
    <row r="87" spans="3:10" hidden="1">
      <c r="D87" s="6"/>
      <c r="E87" s="2"/>
      <c r="F87" s="2"/>
      <c r="G87" s="2"/>
      <c r="H87" s="2"/>
      <c r="I87" s="2"/>
      <c r="J87" s="2"/>
    </row>
    <row r="88" spans="3:10" hidden="1">
      <c r="D88" s="6"/>
      <c r="E88" s="2"/>
      <c r="F88" s="2"/>
      <c r="G88" s="2"/>
      <c r="H88" s="2"/>
      <c r="I88" s="2"/>
      <c r="J88" s="2"/>
    </row>
    <row r="89" spans="3:10" hidden="1">
      <c r="D89" s="6"/>
      <c r="E89" s="2"/>
      <c r="F89" s="2"/>
      <c r="G89" s="2"/>
      <c r="H89" s="2"/>
      <c r="I89" s="2"/>
      <c r="J89" s="2"/>
    </row>
    <row r="90" spans="3:10" hidden="1">
      <c r="D90" s="6"/>
      <c r="E90" s="2"/>
      <c r="F90" s="2"/>
      <c r="G90" s="2"/>
      <c r="H90" s="2"/>
      <c r="I90" s="2"/>
      <c r="J90" s="2"/>
    </row>
    <row r="91" spans="3:10" hidden="1">
      <c r="C91" s="5"/>
      <c r="D91" s="6"/>
      <c r="E91" s="8"/>
      <c r="F91" s="8"/>
      <c r="G91" s="8"/>
      <c r="H91" s="8"/>
      <c r="I91" s="2"/>
      <c r="J91" s="2"/>
    </row>
    <row r="92" spans="3:10" hidden="1">
      <c r="C92" s="5"/>
      <c r="D92" s="6"/>
      <c r="E92" s="8"/>
      <c r="F92" s="8"/>
      <c r="G92" s="8"/>
      <c r="H92" s="8"/>
      <c r="I92" s="2"/>
      <c r="J92" s="2"/>
    </row>
    <row r="93" spans="3:10" hidden="1">
      <c r="C93" s="5"/>
      <c r="D93" s="6"/>
      <c r="E93" s="8"/>
      <c r="F93" s="8"/>
      <c r="G93" s="8"/>
      <c r="H93" s="8"/>
      <c r="I93" s="2"/>
      <c r="J93" s="2"/>
    </row>
    <row r="94" spans="3:10" hidden="1">
      <c r="C94" s="5"/>
      <c r="D94" s="6"/>
      <c r="E94" s="8"/>
      <c r="F94" s="8"/>
      <c r="G94" s="8"/>
      <c r="H94" s="8"/>
      <c r="I94" s="2"/>
      <c r="J94" s="2"/>
    </row>
    <row r="95" spans="3:10" hidden="1">
      <c r="C95" s="5"/>
      <c r="D95" s="6"/>
      <c r="E95" s="8"/>
      <c r="F95" s="8"/>
      <c r="G95" s="8"/>
      <c r="H95" s="8"/>
      <c r="I95" s="2"/>
      <c r="J95" s="2"/>
    </row>
    <row r="96" spans="3:10" hidden="1">
      <c r="C96" s="5"/>
      <c r="D96" s="6"/>
      <c r="E96" s="8"/>
      <c r="F96" s="8"/>
      <c r="G96" s="8"/>
      <c r="H96" s="8"/>
      <c r="I96" s="2"/>
      <c r="J96" s="2"/>
    </row>
    <row r="97" spans="3:10" hidden="1">
      <c r="C97" s="5"/>
      <c r="D97" s="6"/>
      <c r="E97" s="8"/>
      <c r="F97" s="8"/>
      <c r="G97" s="8"/>
      <c r="H97" s="8"/>
      <c r="I97" s="2"/>
      <c r="J97" s="2"/>
    </row>
    <row r="98" spans="3:10" hidden="1">
      <c r="C98" s="5"/>
      <c r="D98" s="6"/>
      <c r="E98" s="8"/>
      <c r="F98" s="8"/>
      <c r="G98" s="8"/>
      <c r="H98" s="8"/>
      <c r="I98" s="2"/>
      <c r="J98" s="2"/>
    </row>
    <row r="99" spans="3:10" hidden="1">
      <c r="C99" s="5"/>
      <c r="D99" s="6"/>
      <c r="E99" s="8"/>
      <c r="F99" s="8"/>
      <c r="G99" s="8"/>
      <c r="H99" s="8"/>
      <c r="I99" s="2"/>
      <c r="J99" s="2"/>
    </row>
    <row r="100" spans="3:10" hidden="1">
      <c r="C100" s="5"/>
      <c r="D100" s="6"/>
      <c r="E100" s="8"/>
      <c r="F100" s="8"/>
      <c r="G100" s="8"/>
      <c r="H100" s="8"/>
      <c r="I100" s="2"/>
      <c r="J100" s="2"/>
    </row>
    <row r="101" spans="3:10" hidden="1">
      <c r="C101" s="5"/>
      <c r="D101" s="6"/>
      <c r="E101" s="8"/>
      <c r="F101" s="8"/>
      <c r="G101" s="8"/>
      <c r="H101" s="8"/>
      <c r="I101" s="2"/>
      <c r="J101" s="2"/>
    </row>
    <row r="102" spans="3:10" hidden="1">
      <c r="C102" s="5"/>
      <c r="D102" s="6"/>
      <c r="E102" s="8"/>
      <c r="F102" s="8"/>
      <c r="G102" s="8"/>
      <c r="H102" s="8"/>
      <c r="I102" s="2"/>
      <c r="J102" s="2"/>
    </row>
    <row r="103" spans="3:10" hidden="1">
      <c r="D103" s="6"/>
      <c r="E103" s="2"/>
      <c r="F103" s="2"/>
      <c r="G103" s="2"/>
      <c r="H103" s="2"/>
      <c r="I103" s="2"/>
      <c r="J103" s="2"/>
    </row>
    <row r="104" spans="3:10" hidden="1">
      <c r="C104" s="5"/>
      <c r="D104" s="6"/>
      <c r="E104" s="8"/>
      <c r="F104" s="8"/>
      <c r="G104" s="8"/>
      <c r="H104" s="8"/>
      <c r="I104" s="2"/>
      <c r="J104" s="2"/>
    </row>
    <row r="105" spans="3:10" hidden="1">
      <c r="D105" s="6"/>
      <c r="E105" s="2"/>
      <c r="F105" s="2"/>
      <c r="G105" s="2"/>
      <c r="H105" s="2"/>
      <c r="I105" s="2"/>
      <c r="J105" s="2"/>
    </row>
    <row r="106" spans="3:10" hidden="1">
      <c r="D106" s="6"/>
      <c r="E106" s="2"/>
      <c r="F106" s="2"/>
      <c r="G106" s="2"/>
      <c r="H106" s="2"/>
      <c r="I106" s="2"/>
      <c r="J106" s="2"/>
    </row>
    <row r="107" spans="3:10" hidden="1">
      <c r="D107" s="6"/>
      <c r="E107" s="2"/>
      <c r="F107" s="2"/>
      <c r="G107" s="2"/>
      <c r="H107" s="2"/>
      <c r="I107" s="2"/>
      <c r="J107" s="2"/>
    </row>
    <row r="108" spans="3:10" hidden="1">
      <c r="C108" s="9"/>
      <c r="D108" s="10"/>
      <c r="E108" s="11"/>
      <c r="F108" s="11"/>
      <c r="G108" s="11"/>
      <c r="H108" s="9"/>
      <c r="I108" s="2"/>
      <c r="J108" s="2"/>
    </row>
  </sheetData>
  <phoneticPr fontId="6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DCE33-61FA-47E9-A4C6-55DED8C0DDE4}">
  <dimension ref="A1:Z112"/>
  <sheetViews>
    <sheetView zoomScaleNormal="100" workbookViewId="0">
      <selection activeCell="N6" sqref="N6"/>
    </sheetView>
  </sheetViews>
  <sheetFormatPr defaultRowHeight="15"/>
  <cols>
    <col min="1" max="1" width="17.42578125" customWidth="1"/>
    <col min="2" max="2" width="11.140625" customWidth="1"/>
    <col min="3" max="3" width="3" customWidth="1"/>
    <col min="4" max="4" width="13.7109375" customWidth="1"/>
    <col min="5" max="5" width="11.28515625" customWidth="1"/>
    <col min="6" max="6" width="12.5703125" customWidth="1"/>
    <col min="7" max="7" width="9.85546875" customWidth="1"/>
    <col min="8" max="8" width="10.42578125" customWidth="1"/>
    <col min="11" max="11" width="6.28515625" style="32" customWidth="1"/>
    <col min="14" max="14" width="6.5703125" customWidth="1"/>
  </cols>
  <sheetData>
    <row r="1" spans="1:26" ht="30">
      <c r="A1" s="27" t="s">
        <v>16</v>
      </c>
      <c r="B1" s="27" t="s">
        <v>18</v>
      </c>
      <c r="C1" s="27" t="s">
        <v>17</v>
      </c>
      <c r="D1" s="28" t="s">
        <v>15</v>
      </c>
      <c r="E1" s="29" t="s">
        <v>0</v>
      </c>
      <c r="F1" s="29" t="s">
        <v>1</v>
      </c>
      <c r="G1" s="29" t="s">
        <v>2</v>
      </c>
      <c r="H1" s="29" t="s">
        <v>3</v>
      </c>
      <c r="I1" s="22" t="s">
        <v>28</v>
      </c>
      <c r="J1" s="22" t="s">
        <v>29</v>
      </c>
      <c r="K1" s="32" t="s">
        <v>30</v>
      </c>
      <c r="L1" s="12" t="s">
        <v>21</v>
      </c>
      <c r="M1" s="12" t="s">
        <v>22</v>
      </c>
      <c r="Q1" s="33" t="s">
        <v>31</v>
      </c>
      <c r="R1" s="29" t="s">
        <v>0</v>
      </c>
      <c r="S1" s="29" t="s">
        <v>1</v>
      </c>
      <c r="T1" s="29" t="s">
        <v>2</v>
      </c>
      <c r="U1" s="29" t="s">
        <v>3</v>
      </c>
      <c r="V1" s="22" t="s">
        <v>28</v>
      </c>
      <c r="W1" s="22" t="s">
        <v>29</v>
      </c>
      <c r="Y1" s="12" t="s">
        <v>21</v>
      </c>
      <c r="Z1" s="12" t="s">
        <v>22</v>
      </c>
    </row>
    <row r="2" spans="1:26">
      <c r="A2" s="24">
        <v>0</v>
      </c>
      <c r="B2" s="16">
        <v>0</v>
      </c>
      <c r="C2" s="16"/>
      <c r="D2" s="16">
        <v>3.9827943285008764</v>
      </c>
      <c r="E2" s="14">
        <v>4.0199999999999996</v>
      </c>
      <c r="F2" s="14">
        <v>0.14000000000000001</v>
      </c>
      <c r="G2" s="14">
        <v>3.71</v>
      </c>
      <c r="H2" s="14">
        <v>4.33</v>
      </c>
      <c r="I2" s="14">
        <f>IF((ISBLANK(G2)),"",IF(AND(G2&lt;=D2,H2&gt;=D2),1,0))</f>
        <v>1</v>
      </c>
      <c r="J2" s="14">
        <f>IF((ISBLANK(H2)),"",IF(AND(D2-F2&lt;=E2,D2+F2&gt;=E2),1,0))</f>
        <v>1</v>
      </c>
      <c r="L2">
        <f>AVERAGE(I:I)</f>
        <v>0.90196078431372551</v>
      </c>
      <c r="M2">
        <f>AVERAGE(J:J)</f>
        <v>0.66666666666666663</v>
      </c>
      <c r="P2" s="1" t="s">
        <v>4</v>
      </c>
      <c r="Q2" s="5">
        <v>30</v>
      </c>
      <c r="R2" s="2">
        <v>29.65</v>
      </c>
      <c r="S2" s="2">
        <v>0.65</v>
      </c>
      <c r="T2" s="2">
        <v>28.07</v>
      </c>
      <c r="U2" s="2">
        <v>30.58</v>
      </c>
      <c r="V2" s="14">
        <f>IF((ISBLANK(T2)),"",IF(AND(T2&lt;=Q2,U2&gt;=Q2),1,0))</f>
        <v>1</v>
      </c>
      <c r="W2" s="14">
        <f>IF((ISBLANK(U2)),"",IF(AND(Q2-S2&lt;=R2,Q2+S2&gt;=R2),1,0))</f>
        <v>1</v>
      </c>
      <c r="Y2">
        <f>AVERAGE(V:V)</f>
        <v>0.88888888888888884</v>
      </c>
      <c r="Z2">
        <f>AVERAGE(W:W)</f>
        <v>0.55555555555555558</v>
      </c>
    </row>
    <row r="3" spans="1:26">
      <c r="A3" s="7">
        <v>1</v>
      </c>
      <c r="B3" s="16">
        <v>1</v>
      </c>
      <c r="C3" s="30"/>
      <c r="D3" s="5">
        <v>5.6874303010992513</v>
      </c>
      <c r="E3" s="2">
        <v>5.7</v>
      </c>
      <c r="F3" s="2">
        <v>0.28000000000000003</v>
      </c>
      <c r="G3" s="2">
        <v>5.01</v>
      </c>
      <c r="H3" s="2">
        <v>6.14</v>
      </c>
      <c r="I3" s="14">
        <f t="shared" ref="I3:I66" si="0">IF((ISBLANK(G3)),"",IF(AND(G3&lt;=D3,H3&gt;=D3),1,0))</f>
        <v>1</v>
      </c>
      <c r="J3" s="14">
        <f t="shared" ref="J3:J66" si="1">IF((ISBLANK(H3)),"",IF(AND(D3-F3&lt;=E3,D3+F3&gt;=E3),1,0))</f>
        <v>1</v>
      </c>
      <c r="L3" s="31" t="s">
        <v>27</v>
      </c>
      <c r="P3" s="1">
        <v>1</v>
      </c>
      <c r="Q3">
        <v>25</v>
      </c>
      <c r="R3" s="2">
        <v>24.64</v>
      </c>
      <c r="S3" s="2">
        <v>0.61</v>
      </c>
      <c r="T3" s="2">
        <v>23.27</v>
      </c>
      <c r="U3" s="2">
        <v>25.61</v>
      </c>
      <c r="V3" s="14">
        <f t="shared" ref="V3:V10" si="2">IF((ISBLANK(T3)),"",IF(AND(T3&lt;=Q3,U3&gt;=Q3),1,0))</f>
        <v>1</v>
      </c>
      <c r="W3" s="14">
        <f t="shared" ref="W3:W10" si="3">IF((ISBLANK(U3)),"",IF(AND(Q3-S3&lt;=R3,Q3+S3&gt;=R3),1,0))</f>
        <v>1</v>
      </c>
    </row>
    <row r="4" spans="1:26">
      <c r="A4" s="7">
        <v>2</v>
      </c>
      <c r="B4" s="16">
        <v>2</v>
      </c>
      <c r="C4" s="5"/>
      <c r="D4" s="5">
        <v>0.66114385853114543</v>
      </c>
      <c r="E4" s="8">
        <v>0.63</v>
      </c>
      <c r="F4" s="8">
        <v>0.06</v>
      </c>
      <c r="G4" s="8">
        <v>0.51</v>
      </c>
      <c r="H4" s="8">
        <v>0.75</v>
      </c>
      <c r="I4" s="14">
        <f t="shared" si="0"/>
        <v>1</v>
      </c>
      <c r="J4" s="14">
        <f t="shared" si="1"/>
        <v>1</v>
      </c>
      <c r="P4" s="1">
        <v>2</v>
      </c>
      <c r="Q4" s="5">
        <v>20</v>
      </c>
      <c r="R4" s="2">
        <v>18.899999999999999</v>
      </c>
      <c r="S4" s="2">
        <v>0.53</v>
      </c>
      <c r="T4" s="2">
        <v>17.84</v>
      </c>
      <c r="U4" s="2">
        <v>19.86</v>
      </c>
      <c r="V4" s="14">
        <f t="shared" si="2"/>
        <v>0</v>
      </c>
      <c r="W4" s="14">
        <f t="shared" si="3"/>
        <v>0</v>
      </c>
    </row>
    <row r="5" spans="1:26">
      <c r="A5" s="1">
        <v>3</v>
      </c>
      <c r="B5" s="16">
        <v>3</v>
      </c>
      <c r="D5">
        <v>0.82045563167118041</v>
      </c>
      <c r="E5" s="2">
        <v>0.78</v>
      </c>
      <c r="F5" s="2">
        <v>0.14000000000000001</v>
      </c>
      <c r="G5" s="2">
        <v>0.51</v>
      </c>
      <c r="H5" s="2">
        <v>1.06</v>
      </c>
      <c r="I5" s="14">
        <f t="shared" si="0"/>
        <v>1</v>
      </c>
      <c r="J5" s="14">
        <f t="shared" si="1"/>
        <v>1</v>
      </c>
      <c r="P5" s="1">
        <v>3</v>
      </c>
      <c r="Q5">
        <v>10</v>
      </c>
      <c r="R5" s="2">
        <v>9.5399999999999991</v>
      </c>
      <c r="S5" s="2">
        <v>0.46</v>
      </c>
      <c r="T5" s="2">
        <v>8.61</v>
      </c>
      <c r="U5" s="2">
        <v>10.37</v>
      </c>
      <c r="V5" s="14">
        <f t="shared" si="2"/>
        <v>1</v>
      </c>
      <c r="W5" s="14">
        <f t="shared" si="3"/>
        <v>1</v>
      </c>
    </row>
    <row r="6" spans="1:26">
      <c r="A6" s="7">
        <v>4</v>
      </c>
      <c r="B6" s="16">
        <v>4</v>
      </c>
      <c r="C6" s="5"/>
      <c r="D6" s="5">
        <v>3.5845148956507886</v>
      </c>
      <c r="E6" s="8">
        <v>3.18</v>
      </c>
      <c r="F6" s="8">
        <v>0.12</v>
      </c>
      <c r="G6" s="8">
        <v>2.95</v>
      </c>
      <c r="H6" s="8">
        <v>3.41</v>
      </c>
      <c r="I6" s="14">
        <f t="shared" si="0"/>
        <v>0</v>
      </c>
      <c r="J6" s="14">
        <f t="shared" si="1"/>
        <v>0</v>
      </c>
      <c r="P6" s="1">
        <v>4</v>
      </c>
      <c r="Q6" s="5">
        <v>8</v>
      </c>
      <c r="R6" s="2">
        <v>7.56</v>
      </c>
      <c r="S6" s="2">
        <v>0.4</v>
      </c>
      <c r="T6" s="2">
        <v>6.8</v>
      </c>
      <c r="U6" s="2">
        <v>8.3699999999999992</v>
      </c>
      <c r="V6" s="14">
        <f t="shared" si="2"/>
        <v>1</v>
      </c>
      <c r="W6" s="14">
        <f t="shared" si="3"/>
        <v>0</v>
      </c>
    </row>
    <row r="7" spans="1:26">
      <c r="A7" s="1">
        <v>5</v>
      </c>
      <c r="B7" s="16">
        <v>5</v>
      </c>
      <c r="C7" s="5"/>
      <c r="D7">
        <v>0</v>
      </c>
      <c r="E7" s="2"/>
      <c r="F7" s="2"/>
      <c r="G7" s="2"/>
      <c r="H7" s="2"/>
      <c r="I7" s="14" t="str">
        <f t="shared" si="0"/>
        <v/>
      </c>
      <c r="J7" s="14" t="str">
        <f t="shared" si="1"/>
        <v/>
      </c>
      <c r="P7" s="1">
        <v>5</v>
      </c>
      <c r="Q7">
        <v>6.4</v>
      </c>
      <c r="R7" s="2">
        <v>6.67</v>
      </c>
      <c r="S7" s="2">
        <v>0.62</v>
      </c>
      <c r="T7" s="2">
        <v>5.5</v>
      </c>
      <c r="U7" s="2">
        <v>7.93</v>
      </c>
      <c r="V7" s="14">
        <f t="shared" si="2"/>
        <v>1</v>
      </c>
      <c r="W7" s="14">
        <f t="shared" si="3"/>
        <v>1</v>
      </c>
    </row>
    <row r="8" spans="1:26">
      <c r="A8" s="7">
        <v>6</v>
      </c>
      <c r="B8">
        <v>6</v>
      </c>
      <c r="C8" s="5"/>
      <c r="D8" s="5">
        <v>2.0152939302214432</v>
      </c>
      <c r="E8" s="2">
        <v>1.88</v>
      </c>
      <c r="F8" s="2">
        <v>0.1</v>
      </c>
      <c r="G8" s="2">
        <v>1.71</v>
      </c>
      <c r="H8" s="2">
        <v>2.0699999999999998</v>
      </c>
      <c r="I8" s="14">
        <f t="shared" si="0"/>
        <v>1</v>
      </c>
      <c r="J8" s="14">
        <f t="shared" si="1"/>
        <v>0</v>
      </c>
      <c r="P8" s="1">
        <v>6</v>
      </c>
      <c r="Q8" s="5">
        <v>0.3</v>
      </c>
      <c r="R8" s="2">
        <v>1.74</v>
      </c>
      <c r="S8" s="2">
        <v>1.18</v>
      </c>
      <c r="T8" s="2">
        <v>0.15</v>
      </c>
      <c r="U8" s="2">
        <v>4</v>
      </c>
      <c r="V8" s="14">
        <f t="shared" si="2"/>
        <v>1</v>
      </c>
      <c r="W8" s="14">
        <f t="shared" si="3"/>
        <v>0</v>
      </c>
    </row>
    <row r="9" spans="1:26">
      <c r="A9" s="7">
        <v>7</v>
      </c>
      <c r="B9" s="5">
        <v>7</v>
      </c>
      <c r="C9" s="5"/>
      <c r="D9" s="5">
        <v>1.6090489087143538</v>
      </c>
      <c r="E9" s="8">
        <v>1.62</v>
      </c>
      <c r="F9" s="8">
        <v>0.11</v>
      </c>
      <c r="G9" s="8">
        <v>1.39</v>
      </c>
      <c r="H9" s="8">
        <v>1.81</v>
      </c>
      <c r="I9" s="14">
        <f t="shared" si="0"/>
        <v>1</v>
      </c>
      <c r="J9" s="14">
        <f t="shared" si="1"/>
        <v>1</v>
      </c>
      <c r="P9" s="1">
        <v>7</v>
      </c>
      <c r="Q9">
        <v>0.2</v>
      </c>
      <c r="R9" s="2">
        <v>0.62</v>
      </c>
      <c r="S9" s="2">
        <v>0.71</v>
      </c>
      <c r="T9" s="2">
        <v>0</v>
      </c>
      <c r="U9" s="2">
        <v>2.11</v>
      </c>
      <c r="V9" s="14">
        <f t="shared" si="2"/>
        <v>1</v>
      </c>
      <c r="W9" s="14">
        <f t="shared" si="3"/>
        <v>1</v>
      </c>
    </row>
    <row r="10" spans="1:26">
      <c r="A10" s="7">
        <v>8</v>
      </c>
      <c r="B10" s="5">
        <v>8</v>
      </c>
      <c r="C10" s="5"/>
      <c r="D10" s="5">
        <v>4.7793531942010512</v>
      </c>
      <c r="E10" s="2">
        <v>4.8600000000000003</v>
      </c>
      <c r="F10" s="2">
        <v>0.11</v>
      </c>
      <c r="G10" s="2">
        <v>4.6500000000000004</v>
      </c>
      <c r="H10" s="2">
        <v>5.07</v>
      </c>
      <c r="I10" s="14">
        <f t="shared" si="0"/>
        <v>1</v>
      </c>
      <c r="J10" s="14">
        <f t="shared" si="1"/>
        <v>1</v>
      </c>
      <c r="P10" s="1">
        <v>8</v>
      </c>
      <c r="Q10" s="5">
        <v>0.1</v>
      </c>
      <c r="R10" s="2">
        <v>0.7</v>
      </c>
      <c r="S10" s="2">
        <v>0.47</v>
      </c>
      <c r="T10" s="2">
        <v>7.0000000000000007E-2</v>
      </c>
      <c r="U10" s="2">
        <v>1.73</v>
      </c>
      <c r="V10" s="14">
        <f t="shared" si="2"/>
        <v>1</v>
      </c>
      <c r="W10" s="14">
        <f t="shared" si="3"/>
        <v>0</v>
      </c>
    </row>
    <row r="11" spans="1:26">
      <c r="A11" s="7">
        <v>9</v>
      </c>
      <c r="B11" s="5">
        <v>9</v>
      </c>
      <c r="C11" s="5"/>
      <c r="D11" s="5">
        <v>2.0073283415644414</v>
      </c>
      <c r="E11" s="8">
        <v>1.93</v>
      </c>
      <c r="F11" s="8">
        <v>0.13</v>
      </c>
      <c r="G11" s="8">
        <v>1.69</v>
      </c>
      <c r="H11" s="8">
        <v>2.1800000000000002</v>
      </c>
      <c r="I11" s="14">
        <f t="shared" si="0"/>
        <v>1</v>
      </c>
      <c r="J11" s="14">
        <f t="shared" si="1"/>
        <v>1</v>
      </c>
    </row>
    <row r="12" spans="1:26">
      <c r="A12" s="7">
        <v>10</v>
      </c>
      <c r="B12" s="5">
        <v>10</v>
      </c>
      <c r="C12" s="5"/>
      <c r="D12" s="5">
        <v>0.81249004301417882</v>
      </c>
      <c r="E12" s="2">
        <v>0.76</v>
      </c>
      <c r="F12" s="2">
        <v>0.08</v>
      </c>
      <c r="G12" s="2">
        <v>0.6</v>
      </c>
      <c r="H12" s="2">
        <v>0.92</v>
      </c>
      <c r="I12" s="14">
        <f t="shared" si="0"/>
        <v>1</v>
      </c>
      <c r="J12" s="14">
        <f t="shared" si="1"/>
        <v>1</v>
      </c>
      <c r="P12" s="3" t="s">
        <v>5</v>
      </c>
      <c r="Q12" s="3"/>
    </row>
    <row r="13" spans="1:26">
      <c r="A13" s="7">
        <v>11</v>
      </c>
      <c r="B13" s="5">
        <v>11</v>
      </c>
      <c r="C13" s="5"/>
      <c r="D13">
        <v>2.3896765971005256E-2</v>
      </c>
      <c r="E13" s="8">
        <v>0.13</v>
      </c>
      <c r="F13" s="8">
        <v>0.13</v>
      </c>
      <c r="G13" s="8">
        <v>0</v>
      </c>
      <c r="H13" s="8">
        <v>0.44</v>
      </c>
      <c r="I13" s="14">
        <f t="shared" si="0"/>
        <v>1</v>
      </c>
      <c r="J13" s="14">
        <f t="shared" si="1"/>
        <v>1</v>
      </c>
      <c r="P13" s="4" t="s">
        <v>6</v>
      </c>
      <c r="Q13" s="4"/>
    </row>
    <row r="14" spans="1:26">
      <c r="A14" s="7">
        <v>12</v>
      </c>
      <c r="B14" s="5">
        <v>12</v>
      </c>
      <c r="C14" s="5"/>
      <c r="D14" s="5">
        <v>0.64521268121714193</v>
      </c>
      <c r="E14" s="2">
        <v>0.74</v>
      </c>
      <c r="F14" s="2">
        <v>0.08</v>
      </c>
      <c r="G14" s="2">
        <v>0.6</v>
      </c>
      <c r="H14" s="2">
        <v>0.9</v>
      </c>
      <c r="I14" s="14">
        <f t="shared" si="0"/>
        <v>1</v>
      </c>
      <c r="J14" s="14">
        <f t="shared" si="1"/>
        <v>0</v>
      </c>
      <c r="P14" s="4" t="s">
        <v>24</v>
      </c>
      <c r="Q14" s="4"/>
    </row>
    <row r="15" spans="1:26">
      <c r="A15" s="7">
        <v>13</v>
      </c>
      <c r="B15" s="5">
        <v>13</v>
      </c>
      <c r="C15" s="5"/>
      <c r="D15" s="5">
        <v>0</v>
      </c>
      <c r="E15" s="8"/>
      <c r="F15" s="8"/>
      <c r="G15" s="8"/>
      <c r="H15" s="8"/>
      <c r="I15" s="14" t="str">
        <f t="shared" si="0"/>
        <v/>
      </c>
      <c r="J15" s="14" t="str">
        <f t="shared" si="1"/>
        <v/>
      </c>
      <c r="P15" s="4" t="s">
        <v>8</v>
      </c>
      <c r="Q15" s="4"/>
    </row>
    <row r="16" spans="1:26">
      <c r="A16" s="7">
        <v>14</v>
      </c>
      <c r="B16" s="5">
        <v>14</v>
      </c>
      <c r="C16" s="5"/>
      <c r="D16" s="5">
        <v>2.4056077744145292</v>
      </c>
      <c r="E16" s="8">
        <v>2.33</v>
      </c>
      <c r="F16" s="8">
        <v>0.17</v>
      </c>
      <c r="G16" s="8">
        <v>1.97</v>
      </c>
      <c r="H16" s="8">
        <v>2.62</v>
      </c>
      <c r="I16" s="14">
        <f t="shared" si="0"/>
        <v>1</v>
      </c>
      <c r="J16" s="14">
        <f t="shared" si="1"/>
        <v>1</v>
      </c>
      <c r="P16" s="4" t="s">
        <v>9</v>
      </c>
      <c r="Q16" s="4"/>
    </row>
    <row r="17" spans="1:20">
      <c r="A17" s="7">
        <v>15</v>
      </c>
      <c r="B17" s="5">
        <v>15</v>
      </c>
      <c r="C17" s="5"/>
      <c r="D17" s="5">
        <v>0.82045563167118041</v>
      </c>
      <c r="E17" s="2">
        <v>1.1200000000000001</v>
      </c>
      <c r="F17" s="2">
        <v>0.1</v>
      </c>
      <c r="G17" s="2">
        <v>0.95</v>
      </c>
      <c r="H17" s="2">
        <v>1.31</v>
      </c>
      <c r="I17" s="14">
        <f t="shared" si="0"/>
        <v>0</v>
      </c>
      <c r="J17" s="14">
        <f t="shared" si="1"/>
        <v>0</v>
      </c>
      <c r="P17" s="4" t="s">
        <v>10</v>
      </c>
      <c r="Q17" s="4"/>
    </row>
    <row r="18" spans="1:20">
      <c r="A18" s="7">
        <v>16</v>
      </c>
      <c r="B18" s="5">
        <v>16</v>
      </c>
      <c r="C18" s="5"/>
      <c r="D18" s="5">
        <v>5.5759120599012268</v>
      </c>
      <c r="E18" s="8">
        <v>5.39</v>
      </c>
      <c r="F18" s="8">
        <v>0.27</v>
      </c>
      <c r="G18" s="8">
        <v>4.8099999999999996</v>
      </c>
      <c r="H18" s="8">
        <v>5.84</v>
      </c>
      <c r="I18" s="14">
        <f t="shared" si="0"/>
        <v>1</v>
      </c>
      <c r="J18" s="14">
        <f t="shared" si="1"/>
        <v>1</v>
      </c>
      <c r="P18" s="4" t="s">
        <v>11</v>
      </c>
      <c r="Q18" s="4"/>
    </row>
    <row r="19" spans="1:20">
      <c r="A19" s="7">
        <v>17</v>
      </c>
      <c r="B19" s="5">
        <v>17</v>
      </c>
      <c r="C19" s="5"/>
      <c r="D19" s="5">
        <v>1.1470447666082524</v>
      </c>
      <c r="E19" s="2">
        <v>1.1399999999999999</v>
      </c>
      <c r="F19" s="2">
        <v>0.11</v>
      </c>
      <c r="G19" s="2">
        <v>0.95</v>
      </c>
      <c r="H19" s="2">
        <v>1.33</v>
      </c>
      <c r="I19" s="14">
        <f t="shared" si="0"/>
        <v>1</v>
      </c>
      <c r="J19" s="14">
        <f t="shared" si="1"/>
        <v>1</v>
      </c>
      <c r="P19" s="15"/>
      <c r="Q19" s="15"/>
    </row>
    <row r="20" spans="1:20">
      <c r="A20" s="7">
        <v>18</v>
      </c>
      <c r="B20" s="5">
        <v>18</v>
      </c>
      <c r="C20" s="5"/>
      <c r="D20" s="5">
        <v>0</v>
      </c>
      <c r="E20" s="8"/>
      <c r="F20" s="8"/>
      <c r="G20" s="8"/>
      <c r="H20" s="8"/>
      <c r="I20" s="14" t="str">
        <f t="shared" si="0"/>
        <v/>
      </c>
      <c r="J20" s="14" t="str">
        <f t="shared" si="1"/>
        <v/>
      </c>
      <c r="P20" s="4" t="s">
        <v>25</v>
      </c>
      <c r="Q20" s="4"/>
    </row>
    <row r="21" spans="1:20">
      <c r="A21" s="1">
        <v>19</v>
      </c>
      <c r="B21" s="5">
        <v>19</v>
      </c>
      <c r="C21" s="5"/>
      <c r="D21">
        <v>0.82045563167118041</v>
      </c>
      <c r="E21" s="8">
        <v>0.96</v>
      </c>
      <c r="F21" s="8">
        <v>0.09</v>
      </c>
      <c r="G21" s="8">
        <v>0.78</v>
      </c>
      <c r="H21" s="8">
        <v>1.1499999999999999</v>
      </c>
      <c r="I21" s="14">
        <f t="shared" si="0"/>
        <v>1</v>
      </c>
      <c r="J21" s="14">
        <f t="shared" si="1"/>
        <v>0</v>
      </c>
    </row>
    <row r="22" spans="1:20">
      <c r="A22" s="7">
        <v>20</v>
      </c>
      <c r="B22" s="5">
        <v>20</v>
      </c>
      <c r="C22" s="5"/>
      <c r="D22" s="5">
        <v>3.186235462800701E-2</v>
      </c>
      <c r="E22" s="2">
        <v>0.25</v>
      </c>
      <c r="F22" s="2">
        <v>0.13</v>
      </c>
      <c r="G22" s="2">
        <v>0.02</v>
      </c>
      <c r="H22" s="2">
        <v>0.49</v>
      </c>
      <c r="I22" s="14">
        <f t="shared" si="0"/>
        <v>1</v>
      </c>
      <c r="J22" s="14">
        <f t="shared" si="1"/>
        <v>0</v>
      </c>
      <c r="P22" s="3" t="s">
        <v>5</v>
      </c>
      <c r="Q22" s="3"/>
    </row>
    <row r="23" spans="1:20">
      <c r="A23" s="7">
        <v>21</v>
      </c>
      <c r="B23" s="5">
        <v>21</v>
      </c>
      <c r="C23" s="5"/>
      <c r="D23" s="5">
        <v>0</v>
      </c>
      <c r="E23" s="8"/>
      <c r="F23" s="8"/>
      <c r="G23" s="8"/>
      <c r="H23" s="8"/>
      <c r="I23" s="14" t="str">
        <f t="shared" si="0"/>
        <v/>
      </c>
      <c r="J23" s="14" t="str">
        <f t="shared" si="1"/>
        <v/>
      </c>
      <c r="P23" s="4" t="s">
        <v>13</v>
      </c>
      <c r="Q23" s="4"/>
    </row>
    <row r="24" spans="1:20">
      <c r="A24" s="7">
        <v>22</v>
      </c>
      <c r="B24" s="5">
        <v>22</v>
      </c>
      <c r="C24" s="5"/>
      <c r="D24" s="5">
        <v>0.65317826987414374</v>
      </c>
      <c r="E24" s="8">
        <v>0.63</v>
      </c>
      <c r="F24" s="8">
        <v>0.08</v>
      </c>
      <c r="G24" s="8">
        <v>0.48</v>
      </c>
      <c r="H24" s="8">
        <v>0.8</v>
      </c>
      <c r="I24" s="14">
        <f t="shared" si="0"/>
        <v>1</v>
      </c>
      <c r="J24" s="14">
        <f t="shared" si="1"/>
        <v>1</v>
      </c>
      <c r="P24" s="4" t="s">
        <v>24</v>
      </c>
      <c r="Q24" s="4"/>
    </row>
    <row r="25" spans="1:20">
      <c r="A25" s="7">
        <v>23</v>
      </c>
      <c r="B25">
        <v>23</v>
      </c>
      <c r="C25" s="5"/>
      <c r="D25">
        <v>1.9993627529074398</v>
      </c>
      <c r="E25" s="2">
        <v>2.2799999999999998</v>
      </c>
      <c r="F25" s="2">
        <v>0.22</v>
      </c>
      <c r="G25" s="2">
        <v>1.84</v>
      </c>
      <c r="H25" s="2">
        <v>2.7</v>
      </c>
      <c r="I25" s="14">
        <f t="shared" si="0"/>
        <v>1</v>
      </c>
      <c r="J25" s="14">
        <f t="shared" si="1"/>
        <v>0</v>
      </c>
      <c r="P25" s="4" t="s">
        <v>8</v>
      </c>
      <c r="Q25" s="4"/>
    </row>
    <row r="26" spans="1:20">
      <c r="A26" s="7">
        <v>24</v>
      </c>
      <c r="B26" s="5">
        <v>24</v>
      </c>
      <c r="C26" s="5"/>
      <c r="D26" s="5">
        <v>3.9827943285008764</v>
      </c>
      <c r="E26" s="8">
        <v>3.57</v>
      </c>
      <c r="F26" s="8">
        <v>0.12</v>
      </c>
      <c r="G26" s="8">
        <v>3.31</v>
      </c>
      <c r="H26" s="8">
        <v>3.8</v>
      </c>
      <c r="I26" s="14">
        <f t="shared" si="0"/>
        <v>0</v>
      </c>
      <c r="J26" s="14">
        <f t="shared" si="1"/>
        <v>0</v>
      </c>
      <c r="P26" s="4" t="s">
        <v>9</v>
      </c>
      <c r="Q26" s="4"/>
    </row>
    <row r="27" spans="1:20">
      <c r="A27" s="1">
        <v>25</v>
      </c>
      <c r="B27" s="5">
        <v>25</v>
      </c>
      <c r="C27" s="5"/>
      <c r="D27">
        <v>0</v>
      </c>
      <c r="E27" s="2"/>
      <c r="F27" s="2"/>
      <c r="G27" s="2"/>
      <c r="H27" s="2"/>
      <c r="I27" s="14" t="str">
        <f t="shared" si="0"/>
        <v/>
      </c>
      <c r="J27" s="14" t="str">
        <f t="shared" si="1"/>
        <v/>
      </c>
      <c r="P27" s="4" t="s">
        <v>10</v>
      </c>
      <c r="Q27" s="4"/>
    </row>
    <row r="28" spans="1:20">
      <c r="A28" s="7">
        <v>26</v>
      </c>
      <c r="B28" s="5">
        <v>26</v>
      </c>
      <c r="C28" s="5"/>
      <c r="D28" s="5">
        <v>1.9436036323084276</v>
      </c>
      <c r="E28" s="2">
        <v>1.94</v>
      </c>
      <c r="F28" s="2">
        <v>0.08</v>
      </c>
      <c r="G28" s="2">
        <v>1.78</v>
      </c>
      <c r="H28" s="2">
        <v>2.09</v>
      </c>
      <c r="I28" s="14">
        <f t="shared" si="0"/>
        <v>1</v>
      </c>
      <c r="J28" s="14">
        <f t="shared" si="1"/>
        <v>1</v>
      </c>
      <c r="P28" s="4" t="s">
        <v>11</v>
      </c>
      <c r="Q28" s="4"/>
    </row>
    <row r="29" spans="1:20">
      <c r="A29" s="7">
        <v>27</v>
      </c>
      <c r="B29" s="5">
        <v>27</v>
      </c>
      <c r="C29" s="5"/>
      <c r="D29" s="5">
        <v>0</v>
      </c>
      <c r="E29" s="8"/>
      <c r="F29" s="8"/>
      <c r="G29" s="8"/>
      <c r="H29" s="8"/>
      <c r="I29" s="14" t="str">
        <f t="shared" si="0"/>
        <v/>
      </c>
      <c r="J29" s="14" t="str">
        <f t="shared" si="1"/>
        <v/>
      </c>
      <c r="P29" s="15"/>
      <c r="Q29" s="15"/>
    </row>
    <row r="30" spans="1:20">
      <c r="A30" s="7">
        <v>28</v>
      </c>
      <c r="B30" s="5">
        <v>28</v>
      </c>
      <c r="C30" s="5"/>
      <c r="D30" s="5">
        <v>0.81249004301417882</v>
      </c>
      <c r="E30" s="8">
        <v>0.91</v>
      </c>
      <c r="F30" s="8">
        <v>0.09</v>
      </c>
      <c r="G30" s="8">
        <v>0.72</v>
      </c>
      <c r="H30" s="8">
        <v>1.08</v>
      </c>
      <c r="I30" s="14">
        <f t="shared" si="0"/>
        <v>1</v>
      </c>
      <c r="J30" s="14">
        <f t="shared" si="1"/>
        <v>0</v>
      </c>
      <c r="P30" s="4" t="s">
        <v>26</v>
      </c>
      <c r="Q30" s="4"/>
    </row>
    <row r="31" spans="1:20">
      <c r="A31" s="7">
        <v>29</v>
      </c>
      <c r="B31" s="5">
        <v>29</v>
      </c>
      <c r="C31" s="5"/>
      <c r="D31">
        <v>0</v>
      </c>
      <c r="E31" s="2"/>
      <c r="F31" s="2"/>
      <c r="G31" s="2"/>
      <c r="H31" s="2"/>
      <c r="I31" s="14" t="str">
        <f t="shared" si="0"/>
        <v/>
      </c>
      <c r="J31" s="14" t="str">
        <f t="shared" si="1"/>
        <v/>
      </c>
    </row>
    <row r="32" spans="1:20">
      <c r="A32" s="7">
        <v>30</v>
      </c>
      <c r="B32" s="5">
        <v>30</v>
      </c>
      <c r="C32" s="5"/>
      <c r="D32" s="5">
        <v>0</v>
      </c>
      <c r="E32" s="2"/>
      <c r="F32" s="2"/>
      <c r="G32" s="2"/>
      <c r="H32" s="2"/>
      <c r="I32" s="14" t="str">
        <f t="shared" si="0"/>
        <v/>
      </c>
      <c r="J32" s="14" t="str">
        <f t="shared" si="1"/>
        <v/>
      </c>
      <c r="T32" s="5"/>
    </row>
    <row r="33" spans="1:20">
      <c r="A33" s="7">
        <v>31</v>
      </c>
      <c r="B33" s="5">
        <v>31</v>
      </c>
      <c r="C33" s="5"/>
      <c r="D33" s="5">
        <v>4.3810737613509643</v>
      </c>
      <c r="E33" s="2">
        <v>4.1100000000000003</v>
      </c>
      <c r="F33" s="2">
        <v>0.12</v>
      </c>
      <c r="G33" s="2">
        <v>3.89</v>
      </c>
      <c r="H33" s="2">
        <v>4.37</v>
      </c>
      <c r="I33" s="14">
        <f t="shared" si="0"/>
        <v>0</v>
      </c>
      <c r="J33" s="14">
        <f t="shared" si="1"/>
        <v>0</v>
      </c>
      <c r="T33" s="5"/>
    </row>
    <row r="34" spans="1:20">
      <c r="A34" s="7">
        <v>32</v>
      </c>
      <c r="B34" s="5">
        <v>32</v>
      </c>
      <c r="C34" s="5"/>
      <c r="D34" s="5">
        <v>0</v>
      </c>
      <c r="E34" s="8"/>
      <c r="F34" s="8"/>
      <c r="G34" s="8"/>
      <c r="H34" s="8"/>
      <c r="I34" s="14" t="str">
        <f t="shared" si="0"/>
        <v/>
      </c>
      <c r="J34" s="14" t="str">
        <f t="shared" si="1"/>
        <v/>
      </c>
      <c r="T34" s="5"/>
    </row>
    <row r="35" spans="1:20">
      <c r="A35" s="1">
        <v>33</v>
      </c>
      <c r="B35" s="5">
        <v>33</v>
      </c>
      <c r="C35" s="5"/>
      <c r="D35" s="5">
        <v>0</v>
      </c>
      <c r="E35" s="8"/>
      <c r="F35" s="8"/>
      <c r="G35" s="8"/>
      <c r="H35" s="8"/>
      <c r="I35" s="14" t="str">
        <f t="shared" si="0"/>
        <v/>
      </c>
      <c r="J35" s="14" t="str">
        <f t="shared" si="1"/>
        <v/>
      </c>
      <c r="T35" s="5"/>
    </row>
    <row r="36" spans="1:20">
      <c r="A36" s="7">
        <v>34</v>
      </c>
      <c r="B36" s="5">
        <v>34</v>
      </c>
      <c r="C36" s="5"/>
      <c r="D36" s="5">
        <v>0</v>
      </c>
      <c r="E36" s="8"/>
      <c r="F36" s="8"/>
      <c r="G36" s="8"/>
      <c r="H36" s="8"/>
      <c r="I36" s="14" t="str">
        <f t="shared" si="0"/>
        <v/>
      </c>
      <c r="J36" s="14" t="str">
        <f t="shared" si="1"/>
        <v/>
      </c>
      <c r="T36" s="5"/>
    </row>
    <row r="37" spans="1:20">
      <c r="A37" s="1">
        <v>35</v>
      </c>
      <c r="B37" s="5">
        <v>35</v>
      </c>
      <c r="C37" s="5"/>
      <c r="D37">
        <v>1.6090489087143538</v>
      </c>
      <c r="E37" s="8">
        <v>1.34</v>
      </c>
      <c r="F37" s="8">
        <v>0.13</v>
      </c>
      <c r="G37" s="8">
        <v>1.1100000000000001</v>
      </c>
      <c r="H37" s="8">
        <v>1.59</v>
      </c>
      <c r="I37" s="14">
        <f t="shared" si="0"/>
        <v>0</v>
      </c>
      <c r="J37" s="14">
        <f t="shared" si="1"/>
        <v>0</v>
      </c>
    </row>
    <row r="38" spans="1:20">
      <c r="A38" s="7">
        <v>36</v>
      </c>
      <c r="B38" s="5">
        <v>36</v>
      </c>
      <c r="C38" s="5"/>
      <c r="D38" s="5">
        <v>0</v>
      </c>
      <c r="E38" s="2"/>
      <c r="F38" s="2"/>
      <c r="G38" s="2"/>
      <c r="H38" s="2"/>
      <c r="I38" s="14" t="str">
        <f t="shared" si="0"/>
        <v/>
      </c>
      <c r="J38" s="14" t="str">
        <f t="shared" si="1"/>
        <v/>
      </c>
      <c r="T38" s="5"/>
    </row>
    <row r="39" spans="1:20">
      <c r="A39" s="7">
        <v>37</v>
      </c>
      <c r="B39" s="5">
        <v>37</v>
      </c>
      <c r="C39" s="5"/>
      <c r="D39">
        <v>0</v>
      </c>
      <c r="E39" s="2"/>
      <c r="F39" s="2"/>
      <c r="G39" s="2"/>
      <c r="H39" s="2"/>
      <c r="I39" s="14" t="str">
        <f t="shared" si="0"/>
        <v/>
      </c>
      <c r="J39" s="14" t="str">
        <f t="shared" si="1"/>
        <v/>
      </c>
    </row>
    <row r="40" spans="1:20">
      <c r="A40" s="7">
        <v>38</v>
      </c>
      <c r="B40">
        <v>38</v>
      </c>
      <c r="C40" s="5"/>
      <c r="D40" s="5">
        <v>1.1470447666082524</v>
      </c>
      <c r="E40" s="2">
        <v>1.22</v>
      </c>
      <c r="F40" s="2">
        <v>0.12</v>
      </c>
      <c r="G40" s="2">
        <v>1.02</v>
      </c>
      <c r="H40" s="2">
        <v>1.49</v>
      </c>
      <c r="I40" s="14">
        <f t="shared" si="0"/>
        <v>1</v>
      </c>
      <c r="J40" s="14">
        <f t="shared" si="1"/>
        <v>1</v>
      </c>
      <c r="T40" s="5"/>
    </row>
    <row r="41" spans="1:20">
      <c r="A41" s="1">
        <v>39</v>
      </c>
      <c r="B41" s="5">
        <v>39</v>
      </c>
      <c r="C41" s="5"/>
      <c r="D41" s="5">
        <v>0</v>
      </c>
      <c r="E41" s="8"/>
      <c r="F41" s="8"/>
      <c r="G41" s="8"/>
      <c r="H41" s="8"/>
      <c r="I41" s="14" t="str">
        <f t="shared" si="0"/>
        <v/>
      </c>
      <c r="J41" s="14" t="str">
        <f t="shared" si="1"/>
        <v/>
      </c>
      <c r="T41" s="5"/>
    </row>
    <row r="42" spans="1:20">
      <c r="A42" s="7">
        <v>40</v>
      </c>
      <c r="B42" s="5">
        <v>40</v>
      </c>
      <c r="C42" s="5"/>
      <c r="D42" s="5">
        <v>1.5931177314003504</v>
      </c>
      <c r="E42" s="8">
        <v>1.34</v>
      </c>
      <c r="F42" s="8">
        <v>0.11</v>
      </c>
      <c r="G42" s="8">
        <v>1.1299999999999999</v>
      </c>
      <c r="H42" s="8">
        <v>1.6</v>
      </c>
      <c r="I42" s="14">
        <f t="shared" si="0"/>
        <v>1</v>
      </c>
      <c r="J42" s="14">
        <f t="shared" si="1"/>
        <v>0</v>
      </c>
      <c r="T42" s="5"/>
    </row>
    <row r="43" spans="1:20">
      <c r="A43" s="7">
        <v>41</v>
      </c>
      <c r="B43" s="5">
        <v>41</v>
      </c>
      <c r="C43" s="5"/>
      <c r="D43" s="5">
        <v>2.413573363071531</v>
      </c>
      <c r="E43" s="2">
        <v>2.44</v>
      </c>
      <c r="F43" s="2">
        <v>0.12</v>
      </c>
      <c r="G43" s="2">
        <v>2.25</v>
      </c>
      <c r="H43" s="2">
        <v>2.69</v>
      </c>
      <c r="I43" s="14">
        <f t="shared" si="0"/>
        <v>1</v>
      </c>
      <c r="J43" s="14">
        <f t="shared" si="1"/>
        <v>1</v>
      </c>
      <c r="T43" s="5"/>
    </row>
    <row r="44" spans="1:20">
      <c r="A44" s="7">
        <v>42</v>
      </c>
      <c r="B44" s="5">
        <v>42</v>
      </c>
      <c r="C44" s="5"/>
      <c r="D44" s="5">
        <v>0.81249004301417882</v>
      </c>
      <c r="E44" s="8">
        <v>0.82</v>
      </c>
      <c r="F44" s="8">
        <v>0.15</v>
      </c>
      <c r="G44" s="8">
        <v>0.55000000000000004</v>
      </c>
      <c r="H44" s="8">
        <v>1.1299999999999999</v>
      </c>
      <c r="I44" s="14">
        <f t="shared" si="0"/>
        <v>1</v>
      </c>
      <c r="J44" s="14">
        <f t="shared" si="1"/>
        <v>1</v>
      </c>
      <c r="T44" s="5"/>
    </row>
    <row r="45" spans="1:20">
      <c r="A45" s="7">
        <v>43</v>
      </c>
      <c r="B45" s="5">
        <v>43</v>
      </c>
      <c r="C45" s="5"/>
      <c r="D45">
        <v>0</v>
      </c>
      <c r="E45" s="2"/>
      <c r="F45" s="2"/>
      <c r="G45" s="2"/>
      <c r="H45" s="2"/>
      <c r="I45" s="14" t="str">
        <f t="shared" si="0"/>
        <v/>
      </c>
      <c r="J45" s="14" t="str">
        <f t="shared" si="1"/>
        <v/>
      </c>
    </row>
    <row r="46" spans="1:20">
      <c r="A46" s="7">
        <v>44</v>
      </c>
      <c r="B46" s="5">
        <v>44</v>
      </c>
      <c r="C46" s="5"/>
      <c r="D46" s="5">
        <v>0</v>
      </c>
      <c r="E46" s="2"/>
      <c r="F46" s="2"/>
      <c r="G46" s="2"/>
      <c r="H46" s="2"/>
      <c r="I46" s="14" t="str">
        <f t="shared" si="0"/>
        <v/>
      </c>
      <c r="J46" s="14" t="str">
        <f t="shared" si="1"/>
        <v/>
      </c>
      <c r="T46" s="5"/>
    </row>
    <row r="47" spans="1:20">
      <c r="A47" s="7">
        <v>45</v>
      </c>
      <c r="B47" s="5">
        <v>45</v>
      </c>
      <c r="C47" s="5"/>
      <c r="D47">
        <v>0</v>
      </c>
      <c r="E47" s="2"/>
      <c r="F47" s="2"/>
      <c r="G47" s="2"/>
      <c r="H47" s="2"/>
      <c r="I47" s="14" t="str">
        <f t="shared" si="0"/>
        <v/>
      </c>
      <c r="J47" s="14" t="str">
        <f t="shared" si="1"/>
        <v/>
      </c>
    </row>
    <row r="48" spans="1:20">
      <c r="A48" s="7">
        <v>46</v>
      </c>
      <c r="B48" s="5">
        <v>46</v>
      </c>
      <c r="C48" s="5"/>
      <c r="D48" s="5">
        <v>0</v>
      </c>
      <c r="E48" s="2"/>
      <c r="F48" s="2"/>
      <c r="G48" s="2"/>
      <c r="H48" s="2"/>
      <c r="I48" s="14" t="str">
        <f t="shared" si="0"/>
        <v/>
      </c>
      <c r="J48" s="14" t="str">
        <f t="shared" si="1"/>
        <v/>
      </c>
      <c r="T48" s="5"/>
    </row>
    <row r="49" spans="1:20">
      <c r="A49" s="7">
        <v>47</v>
      </c>
      <c r="B49" s="5">
        <v>47</v>
      </c>
      <c r="C49" s="5"/>
      <c r="D49" s="5">
        <v>1.1470447666082524</v>
      </c>
      <c r="E49" s="2">
        <v>1.17</v>
      </c>
      <c r="F49" s="2">
        <v>0.13</v>
      </c>
      <c r="G49" s="2">
        <v>0.92</v>
      </c>
      <c r="H49" s="2">
        <v>1.44</v>
      </c>
      <c r="I49" s="14">
        <f t="shared" si="0"/>
        <v>1</v>
      </c>
      <c r="J49" s="14">
        <f t="shared" si="1"/>
        <v>1</v>
      </c>
      <c r="T49" s="5"/>
    </row>
    <row r="50" spans="1:20">
      <c r="A50" s="7">
        <v>48</v>
      </c>
      <c r="B50" s="5">
        <v>48</v>
      </c>
      <c r="C50" s="5"/>
      <c r="D50" s="5">
        <v>0</v>
      </c>
      <c r="E50" s="8"/>
      <c r="F50" s="8"/>
      <c r="G50" s="8"/>
      <c r="H50" s="8"/>
      <c r="I50" s="14" t="str">
        <f t="shared" si="0"/>
        <v/>
      </c>
      <c r="J50" s="14" t="str">
        <f t="shared" si="1"/>
        <v/>
      </c>
      <c r="T50" s="5"/>
    </row>
    <row r="51" spans="1:20">
      <c r="A51" s="1">
        <v>49</v>
      </c>
      <c r="B51" s="5">
        <v>49</v>
      </c>
      <c r="C51" s="5"/>
      <c r="D51">
        <v>4.006691094471881</v>
      </c>
      <c r="E51" s="8">
        <v>4.1500000000000004</v>
      </c>
      <c r="F51" s="8">
        <v>0.14000000000000001</v>
      </c>
      <c r="G51" s="8">
        <v>3.88</v>
      </c>
      <c r="H51" s="8">
        <v>4.45</v>
      </c>
      <c r="I51" s="14">
        <f t="shared" si="0"/>
        <v>1</v>
      </c>
      <c r="J51" s="14">
        <f t="shared" si="1"/>
        <v>0</v>
      </c>
    </row>
    <row r="52" spans="1:20">
      <c r="A52" s="7">
        <v>50</v>
      </c>
      <c r="B52" s="5">
        <v>50</v>
      </c>
      <c r="C52" s="5"/>
      <c r="D52" s="5">
        <v>0</v>
      </c>
      <c r="E52" s="2"/>
      <c r="F52" s="2"/>
      <c r="G52" s="2"/>
      <c r="H52" s="2"/>
      <c r="I52" s="14" t="str">
        <f t="shared" si="0"/>
        <v/>
      </c>
      <c r="J52" s="14" t="str">
        <f t="shared" si="1"/>
        <v/>
      </c>
      <c r="T52" s="5"/>
    </row>
    <row r="53" spans="1:20">
      <c r="A53" s="20"/>
      <c r="B53" s="5">
        <v>51</v>
      </c>
      <c r="C53" s="5"/>
      <c r="D53" s="5">
        <v>3.0269236896606659</v>
      </c>
      <c r="E53" s="2">
        <v>3.05</v>
      </c>
      <c r="F53" s="2">
        <v>0.12</v>
      </c>
      <c r="G53" s="2">
        <v>2.8</v>
      </c>
      <c r="H53" s="2">
        <v>3.26</v>
      </c>
      <c r="I53" s="14">
        <f t="shared" si="0"/>
        <v>1</v>
      </c>
      <c r="J53" s="14">
        <f t="shared" si="1"/>
        <v>1</v>
      </c>
      <c r="T53" s="5"/>
    </row>
    <row r="54" spans="1:20" ht="16.5">
      <c r="A54" s="5"/>
      <c r="B54" s="5">
        <v>52</v>
      </c>
      <c r="C54" s="5"/>
      <c r="D54" s="5">
        <v>0</v>
      </c>
      <c r="E54" s="8"/>
      <c r="F54" s="8"/>
      <c r="G54" s="8"/>
      <c r="H54" s="8"/>
      <c r="I54" s="14" t="str">
        <f t="shared" si="0"/>
        <v/>
      </c>
      <c r="J54" s="14" t="str">
        <f t="shared" si="1"/>
        <v/>
      </c>
      <c r="O54" s="26"/>
      <c r="P54" s="26"/>
      <c r="T54" s="5"/>
    </row>
    <row r="55" spans="1:20" ht="16.5">
      <c r="A55" s="19"/>
      <c r="B55" s="5">
        <v>53</v>
      </c>
      <c r="C55" s="5"/>
      <c r="D55">
        <v>1.6170144973713558</v>
      </c>
      <c r="E55" s="8">
        <v>1.71</v>
      </c>
      <c r="F55" s="8">
        <v>0.1</v>
      </c>
      <c r="G55" s="8">
        <v>1.53</v>
      </c>
      <c r="H55" s="8">
        <v>1.91</v>
      </c>
      <c r="I55" s="14">
        <f t="shared" si="0"/>
        <v>1</v>
      </c>
      <c r="J55" s="14">
        <f t="shared" si="1"/>
        <v>1</v>
      </c>
      <c r="O55" s="26"/>
      <c r="P55" s="26"/>
    </row>
    <row r="56" spans="1:20" ht="16.5">
      <c r="A56" s="5"/>
      <c r="B56" s="5">
        <v>54</v>
      </c>
      <c r="C56" s="5"/>
      <c r="D56" s="5">
        <v>0</v>
      </c>
      <c r="E56" s="2"/>
      <c r="F56" s="2"/>
      <c r="G56" s="2"/>
      <c r="H56" s="2"/>
      <c r="I56" s="14" t="str">
        <f t="shared" si="0"/>
        <v/>
      </c>
      <c r="J56" s="14" t="str">
        <f t="shared" si="1"/>
        <v/>
      </c>
      <c r="L56" s="26"/>
      <c r="M56" s="26"/>
      <c r="O56" s="1"/>
      <c r="P56" s="1"/>
      <c r="Q56" s="1"/>
      <c r="R56" s="1"/>
      <c r="T56" s="5"/>
    </row>
    <row r="57" spans="1:20" ht="16.5">
      <c r="B57" s="5">
        <v>55</v>
      </c>
      <c r="C57" s="5"/>
      <c r="D57">
        <v>0</v>
      </c>
      <c r="E57" s="2"/>
      <c r="F57" s="2"/>
      <c r="G57" s="2"/>
      <c r="H57" s="2"/>
      <c r="I57" s="14" t="str">
        <f t="shared" si="0"/>
        <v/>
      </c>
      <c r="J57" s="14" t="str">
        <f t="shared" si="1"/>
        <v/>
      </c>
      <c r="L57" s="26"/>
      <c r="M57" s="26"/>
      <c r="O57" s="1"/>
      <c r="P57" s="1"/>
      <c r="Q57" s="1"/>
      <c r="R57" s="1"/>
    </row>
    <row r="58" spans="1:20" ht="16.5">
      <c r="A58" s="5"/>
      <c r="B58" s="5">
        <v>56</v>
      </c>
      <c r="C58" s="5"/>
      <c r="D58" s="5">
        <v>0</v>
      </c>
      <c r="E58" s="2"/>
      <c r="F58" s="2"/>
      <c r="G58" s="2"/>
      <c r="H58" s="2"/>
      <c r="I58" s="14" t="str">
        <f t="shared" si="0"/>
        <v/>
      </c>
      <c r="J58" s="14" t="str">
        <f t="shared" si="1"/>
        <v/>
      </c>
      <c r="L58" s="26"/>
      <c r="M58" s="26"/>
      <c r="O58" s="1"/>
      <c r="P58" s="1"/>
      <c r="Q58" s="1"/>
      <c r="R58" s="1"/>
      <c r="T58" s="5"/>
    </row>
    <row r="59" spans="1:20" ht="16.5">
      <c r="B59" s="5">
        <v>57</v>
      </c>
      <c r="C59" s="5"/>
      <c r="D59">
        <v>0.81249004301417882</v>
      </c>
      <c r="E59" s="2">
        <v>0.78</v>
      </c>
      <c r="F59" s="2">
        <v>0.08</v>
      </c>
      <c r="G59" s="2">
        <v>0.63</v>
      </c>
      <c r="H59" s="2">
        <v>0.95</v>
      </c>
      <c r="I59" s="14">
        <f t="shared" si="0"/>
        <v>1</v>
      </c>
      <c r="J59" s="14">
        <f t="shared" si="1"/>
        <v>1</v>
      </c>
      <c r="L59" s="26"/>
      <c r="M59" s="26"/>
      <c r="O59" s="1"/>
      <c r="P59" s="1"/>
      <c r="Q59" s="1"/>
      <c r="R59" s="1"/>
    </row>
    <row r="60" spans="1:20" ht="16.5">
      <c r="A60" s="5"/>
      <c r="B60" s="5">
        <v>58</v>
      </c>
      <c r="C60" s="5"/>
      <c r="D60" s="5">
        <v>1.5931177314003504</v>
      </c>
      <c r="E60" s="8">
        <v>1.51</v>
      </c>
      <c r="F60" s="8">
        <v>0.11</v>
      </c>
      <c r="G60" s="8">
        <v>1.29</v>
      </c>
      <c r="H60" s="8">
        <v>1.72</v>
      </c>
      <c r="I60" s="14">
        <f t="shared" si="0"/>
        <v>1</v>
      </c>
      <c r="J60" s="14">
        <f t="shared" si="1"/>
        <v>1</v>
      </c>
      <c r="L60" s="26"/>
      <c r="M60" s="26"/>
      <c r="N60" s="1"/>
      <c r="T60" s="5"/>
    </row>
    <row r="61" spans="1:20" ht="16.5">
      <c r="B61" s="5">
        <v>59</v>
      </c>
      <c r="C61" s="5"/>
      <c r="D61">
        <v>0.64521268121714193</v>
      </c>
      <c r="E61" s="2">
        <v>0.56000000000000005</v>
      </c>
      <c r="F61" s="2">
        <v>0.09</v>
      </c>
      <c r="G61" s="2">
        <v>0.39</v>
      </c>
      <c r="H61" s="2">
        <v>0.73</v>
      </c>
      <c r="I61" s="14">
        <f t="shared" si="0"/>
        <v>1</v>
      </c>
      <c r="J61" s="14">
        <f t="shared" si="1"/>
        <v>1</v>
      </c>
      <c r="L61" s="26"/>
      <c r="M61" s="26"/>
      <c r="N61" s="1"/>
    </row>
    <row r="62" spans="1:20" ht="16.5">
      <c r="A62" s="5"/>
      <c r="B62" s="5">
        <v>60</v>
      </c>
      <c r="C62" s="5"/>
      <c r="D62" s="5">
        <v>0</v>
      </c>
      <c r="E62" s="8"/>
      <c r="F62" s="8"/>
      <c r="G62" s="8"/>
      <c r="H62" s="8"/>
      <c r="I62" s="14" t="str">
        <f t="shared" si="0"/>
        <v/>
      </c>
      <c r="J62" s="14" t="str">
        <f t="shared" si="1"/>
        <v/>
      </c>
      <c r="L62" s="26"/>
      <c r="M62" s="26"/>
      <c r="N62" s="1"/>
      <c r="T62" s="5"/>
    </row>
    <row r="63" spans="1:20" ht="16.5">
      <c r="A63" s="16"/>
      <c r="B63" s="5">
        <v>61</v>
      </c>
      <c r="C63" s="5"/>
      <c r="D63" s="5">
        <v>0</v>
      </c>
      <c r="E63" s="8"/>
      <c r="F63" s="8"/>
      <c r="G63" s="8"/>
      <c r="H63" s="8"/>
      <c r="I63" s="14" t="str">
        <f t="shared" si="0"/>
        <v/>
      </c>
      <c r="J63" s="14" t="str">
        <f t="shared" si="1"/>
        <v/>
      </c>
      <c r="L63" s="26"/>
      <c r="M63" s="26"/>
      <c r="N63" s="1"/>
      <c r="T63" s="5"/>
    </row>
    <row r="64" spans="1:20" ht="16.5">
      <c r="A64" s="5"/>
      <c r="B64" s="5">
        <v>62</v>
      </c>
      <c r="C64" s="5"/>
      <c r="D64" s="5">
        <v>0</v>
      </c>
      <c r="E64" s="8"/>
      <c r="F64" s="8"/>
      <c r="G64" s="8"/>
      <c r="H64" s="8"/>
      <c r="I64" s="14" t="str">
        <f t="shared" si="0"/>
        <v/>
      </c>
      <c r="J64" s="14" t="str">
        <f t="shared" si="1"/>
        <v/>
      </c>
      <c r="L64" s="26"/>
      <c r="M64" s="26"/>
      <c r="N64" s="1"/>
      <c r="T64" s="5"/>
    </row>
    <row r="65" spans="1:20" ht="16.5">
      <c r="B65" s="5">
        <v>63</v>
      </c>
      <c r="C65" s="5"/>
      <c r="D65" s="5">
        <v>0</v>
      </c>
      <c r="E65" s="8"/>
      <c r="F65" s="8"/>
      <c r="G65" s="8"/>
      <c r="H65" s="8"/>
      <c r="I65" s="14" t="str">
        <f t="shared" si="0"/>
        <v/>
      </c>
      <c r="J65" s="14" t="str">
        <f t="shared" si="1"/>
        <v/>
      </c>
      <c r="L65" s="26"/>
      <c r="M65" s="26"/>
      <c r="N65" s="1"/>
      <c r="T65" s="5"/>
    </row>
    <row r="66" spans="1:20" ht="16.5">
      <c r="A66" s="5"/>
      <c r="B66" s="5">
        <v>64</v>
      </c>
      <c r="C66" s="5"/>
      <c r="D66" s="5">
        <v>0</v>
      </c>
      <c r="E66" s="8"/>
      <c r="F66" s="8"/>
      <c r="G66" s="8"/>
      <c r="H66" s="8"/>
      <c r="I66" s="14" t="str">
        <f t="shared" si="0"/>
        <v/>
      </c>
      <c r="J66" s="14" t="str">
        <f t="shared" si="1"/>
        <v/>
      </c>
      <c r="L66" s="26"/>
      <c r="M66" s="26"/>
      <c r="N66" s="1"/>
      <c r="T66" s="5"/>
    </row>
    <row r="67" spans="1:20" ht="16.5">
      <c r="B67" s="5">
        <v>65</v>
      </c>
      <c r="C67" s="5"/>
      <c r="D67">
        <v>0.52572885136211567</v>
      </c>
      <c r="E67" s="8">
        <v>0.55000000000000004</v>
      </c>
      <c r="F67" s="8">
        <v>0.06</v>
      </c>
      <c r="G67" s="8">
        <v>0.43</v>
      </c>
      <c r="H67" s="8">
        <v>0.67</v>
      </c>
      <c r="I67" s="14">
        <f t="shared" ref="I67:I111" si="4">IF((ISBLANK(G67)),"",IF(AND(G67&lt;=D67,H67&gt;=D67),1,0))</f>
        <v>1</v>
      </c>
      <c r="J67" s="14">
        <f t="shared" ref="J67:J111" si="5">IF((ISBLANK(H67)),"",IF(AND(D67-F67&lt;=E67,D67+F67&gt;=E67),1,0))</f>
        <v>1</v>
      </c>
      <c r="L67" s="26"/>
      <c r="M67" s="26"/>
      <c r="N67" s="1"/>
    </row>
    <row r="68" spans="1:20" ht="16.5">
      <c r="A68" s="5"/>
      <c r="B68" s="5">
        <v>66</v>
      </c>
      <c r="C68" s="5"/>
      <c r="D68" s="5">
        <v>2.3896765971005256E-2</v>
      </c>
      <c r="E68" s="2">
        <v>0.14000000000000001</v>
      </c>
      <c r="F68" s="2">
        <v>0.17</v>
      </c>
      <c r="G68" s="2">
        <v>0</v>
      </c>
      <c r="H68" s="2">
        <v>0.54</v>
      </c>
      <c r="I68" s="14">
        <f t="shared" si="4"/>
        <v>1</v>
      </c>
      <c r="J68" s="14">
        <f t="shared" si="5"/>
        <v>1</v>
      </c>
      <c r="L68" s="26"/>
      <c r="M68" s="26"/>
      <c r="N68" s="1"/>
      <c r="T68" s="5"/>
    </row>
    <row r="69" spans="1:20" ht="16.5">
      <c r="B69" s="5">
        <v>67</v>
      </c>
      <c r="C69" s="5"/>
      <c r="D69" s="5">
        <v>0</v>
      </c>
      <c r="E69" s="8"/>
      <c r="F69" s="8"/>
      <c r="G69" s="8"/>
      <c r="H69" s="8"/>
      <c r="I69" s="14" t="str">
        <f t="shared" si="4"/>
        <v/>
      </c>
      <c r="J69" s="14" t="str">
        <f t="shared" si="5"/>
        <v/>
      </c>
      <c r="L69" s="26"/>
      <c r="M69" s="26"/>
      <c r="N69" s="1"/>
      <c r="T69" s="5"/>
    </row>
    <row r="70" spans="1:20" ht="16.5">
      <c r="A70" s="5"/>
      <c r="B70" s="5">
        <v>68</v>
      </c>
      <c r="C70" s="5"/>
      <c r="D70" s="5">
        <v>0</v>
      </c>
      <c r="E70" s="8"/>
      <c r="F70" s="8"/>
      <c r="G70" s="8"/>
      <c r="H70" s="8"/>
      <c r="I70" s="14" t="str">
        <f t="shared" si="4"/>
        <v/>
      </c>
      <c r="J70" s="14" t="str">
        <f t="shared" si="5"/>
        <v/>
      </c>
      <c r="L70" s="26"/>
      <c r="M70" s="26"/>
      <c r="N70" s="1"/>
      <c r="T70" s="5"/>
    </row>
    <row r="71" spans="1:20" ht="16.5">
      <c r="B71" s="5">
        <v>69</v>
      </c>
      <c r="C71" s="5"/>
      <c r="D71" s="5">
        <v>0</v>
      </c>
      <c r="E71" s="8"/>
      <c r="F71" s="8"/>
      <c r="G71" s="8"/>
      <c r="H71" s="8"/>
      <c r="I71" s="14" t="str">
        <f t="shared" si="4"/>
        <v/>
      </c>
      <c r="J71" s="14" t="str">
        <f t="shared" si="5"/>
        <v/>
      </c>
      <c r="L71" s="26"/>
      <c r="M71" s="26"/>
      <c r="N71" s="1"/>
      <c r="T71" s="5"/>
    </row>
    <row r="72" spans="1:20" ht="16.5">
      <c r="A72" s="5"/>
      <c r="B72" s="5">
        <v>70</v>
      </c>
      <c r="C72" s="5"/>
      <c r="D72" s="5">
        <v>3.9827943285008764</v>
      </c>
      <c r="E72" s="8">
        <v>4.12</v>
      </c>
      <c r="F72" s="8">
        <v>0.22</v>
      </c>
      <c r="G72" s="8">
        <v>3.74</v>
      </c>
      <c r="H72" s="8">
        <v>4.51</v>
      </c>
      <c r="I72" s="14">
        <f t="shared" si="4"/>
        <v>1</v>
      </c>
      <c r="J72" s="14">
        <f t="shared" si="5"/>
        <v>1</v>
      </c>
      <c r="L72" s="26"/>
      <c r="M72" s="26"/>
      <c r="N72" s="1"/>
      <c r="T72" s="5"/>
    </row>
    <row r="73" spans="1:20" ht="16.5">
      <c r="A73" s="5"/>
      <c r="B73" s="5">
        <v>71</v>
      </c>
      <c r="D73">
        <v>2.6286442568105781</v>
      </c>
      <c r="E73" s="2">
        <v>2.58</v>
      </c>
      <c r="F73" s="2">
        <v>0.13</v>
      </c>
      <c r="G73" s="2">
        <v>2.35</v>
      </c>
      <c r="H73" s="2">
        <v>2.83</v>
      </c>
      <c r="I73" s="14">
        <f t="shared" si="4"/>
        <v>1</v>
      </c>
      <c r="J73" s="14">
        <f t="shared" si="5"/>
        <v>1</v>
      </c>
      <c r="L73" s="26"/>
      <c r="M73" s="26"/>
      <c r="N73" s="1"/>
    </row>
    <row r="74" spans="1:20" ht="16.5">
      <c r="A74" s="5"/>
      <c r="B74" s="5">
        <v>72</v>
      </c>
      <c r="C74" s="5"/>
      <c r="D74" s="5">
        <v>0</v>
      </c>
      <c r="E74" s="8"/>
      <c r="F74" s="8"/>
      <c r="G74" s="8"/>
      <c r="H74" s="8"/>
      <c r="I74" s="14" t="str">
        <f t="shared" si="4"/>
        <v/>
      </c>
      <c r="J74" s="14" t="str">
        <f t="shared" si="5"/>
        <v/>
      </c>
      <c r="L74" s="26"/>
      <c r="M74" s="26"/>
      <c r="N74" s="1"/>
      <c r="T74" s="5"/>
    </row>
    <row r="75" spans="1:20" ht="16.5">
      <c r="B75" s="5">
        <v>73</v>
      </c>
      <c r="C75" s="5"/>
      <c r="D75" s="5">
        <v>0</v>
      </c>
      <c r="E75" s="8"/>
      <c r="F75" s="8"/>
      <c r="G75" s="8"/>
      <c r="H75" s="8"/>
      <c r="I75" s="14" t="str">
        <f t="shared" si="4"/>
        <v/>
      </c>
      <c r="J75" s="14" t="str">
        <f t="shared" si="5"/>
        <v/>
      </c>
      <c r="L75" s="26"/>
      <c r="M75" s="26"/>
      <c r="N75" s="1"/>
      <c r="T75" s="5"/>
    </row>
    <row r="76" spans="1:20" ht="16.5">
      <c r="A76" s="5"/>
      <c r="B76" s="5">
        <v>74</v>
      </c>
      <c r="C76" s="5"/>
      <c r="D76" s="5">
        <v>0</v>
      </c>
      <c r="E76" s="8"/>
      <c r="F76" s="8"/>
      <c r="G76" s="8"/>
      <c r="H76" s="8"/>
      <c r="I76" s="14" t="str">
        <f t="shared" si="4"/>
        <v/>
      </c>
      <c r="J76" s="14" t="str">
        <f t="shared" si="5"/>
        <v/>
      </c>
      <c r="L76" s="26"/>
      <c r="M76" s="26"/>
      <c r="N76" s="1"/>
      <c r="T76" s="5"/>
    </row>
    <row r="77" spans="1:20" ht="16.5">
      <c r="A77" s="5"/>
      <c r="B77" s="5">
        <v>75</v>
      </c>
      <c r="C77" s="5"/>
      <c r="D77" s="5">
        <v>0</v>
      </c>
      <c r="E77" s="8"/>
      <c r="F77" s="8"/>
      <c r="G77" s="8"/>
      <c r="H77" s="8"/>
      <c r="I77" s="14" t="str">
        <f t="shared" si="4"/>
        <v/>
      </c>
      <c r="J77" s="14" t="str">
        <f t="shared" si="5"/>
        <v/>
      </c>
      <c r="L77" s="26"/>
      <c r="M77" s="26"/>
      <c r="N77" s="1"/>
      <c r="T77" s="5"/>
    </row>
    <row r="78" spans="1:20" ht="16.5">
      <c r="A78" s="5"/>
      <c r="B78" s="5">
        <v>76</v>
      </c>
      <c r="C78" s="5"/>
      <c r="D78" s="5">
        <v>0</v>
      </c>
      <c r="E78" s="8"/>
      <c r="F78" s="8"/>
      <c r="G78" s="8"/>
      <c r="H78" s="8"/>
      <c r="I78" s="14" t="str">
        <f t="shared" si="4"/>
        <v/>
      </c>
      <c r="J78" s="14" t="str">
        <f t="shared" si="5"/>
        <v/>
      </c>
      <c r="L78" s="26"/>
      <c r="M78" s="26"/>
      <c r="N78" s="1"/>
      <c r="T78" s="5"/>
    </row>
    <row r="79" spans="1:20" ht="16.5">
      <c r="B79" s="5">
        <v>77</v>
      </c>
      <c r="C79" s="5"/>
      <c r="D79" s="5">
        <v>0</v>
      </c>
      <c r="E79" s="8"/>
      <c r="F79" s="8"/>
      <c r="G79" s="8"/>
      <c r="H79" s="8"/>
      <c r="I79" s="14" t="str">
        <f t="shared" si="4"/>
        <v/>
      </c>
      <c r="J79" s="14" t="str">
        <f t="shared" si="5"/>
        <v/>
      </c>
      <c r="L79" s="26"/>
      <c r="M79" s="26"/>
      <c r="N79" s="1"/>
      <c r="T79" s="5"/>
    </row>
    <row r="80" spans="1:20" ht="16.5">
      <c r="A80" s="5"/>
      <c r="B80" s="5">
        <v>78</v>
      </c>
      <c r="C80" s="5"/>
      <c r="D80" s="5">
        <v>2.3896765971005256</v>
      </c>
      <c r="E80" s="8">
        <v>2.21</v>
      </c>
      <c r="F80" s="8">
        <v>0.11</v>
      </c>
      <c r="G80" s="8">
        <v>1.99</v>
      </c>
      <c r="H80" s="8">
        <v>2.4</v>
      </c>
      <c r="I80" s="14">
        <f t="shared" si="4"/>
        <v>1</v>
      </c>
      <c r="J80" s="14">
        <f t="shared" si="5"/>
        <v>0</v>
      </c>
      <c r="L80" s="26"/>
      <c r="M80" s="26"/>
      <c r="N80" s="1"/>
      <c r="T80" s="5"/>
    </row>
    <row r="81" spans="1:20" ht="16.5">
      <c r="B81" s="5">
        <v>79</v>
      </c>
      <c r="C81" s="5"/>
      <c r="D81">
        <v>0</v>
      </c>
      <c r="E81" s="2"/>
      <c r="F81" s="2"/>
      <c r="G81" s="2"/>
      <c r="H81" s="2"/>
      <c r="I81" s="14" t="str">
        <f t="shared" si="4"/>
        <v/>
      </c>
      <c r="J81" s="14" t="str">
        <f t="shared" si="5"/>
        <v/>
      </c>
      <c r="L81" s="26"/>
      <c r="M81" s="26"/>
      <c r="N81" s="1"/>
    </row>
    <row r="82" spans="1:20" ht="16.5">
      <c r="A82" s="5"/>
      <c r="B82" s="5">
        <v>80</v>
      </c>
      <c r="C82" s="5"/>
      <c r="D82" s="5">
        <v>0</v>
      </c>
      <c r="E82" s="2"/>
      <c r="F82" s="2"/>
      <c r="G82" s="2"/>
      <c r="H82" s="2"/>
      <c r="I82" s="14" t="str">
        <f t="shared" si="4"/>
        <v/>
      </c>
      <c r="J82" s="14" t="str">
        <f t="shared" si="5"/>
        <v/>
      </c>
      <c r="L82" s="26"/>
      <c r="M82" s="26"/>
      <c r="N82" s="1"/>
      <c r="T82" s="5"/>
    </row>
    <row r="83" spans="1:20" ht="16.5">
      <c r="B83" s="5">
        <v>81</v>
      </c>
      <c r="C83" s="5"/>
      <c r="D83">
        <v>0</v>
      </c>
      <c r="E83" s="2"/>
      <c r="F83" s="2"/>
      <c r="G83" s="2"/>
      <c r="H83" s="2"/>
      <c r="I83" s="14" t="str">
        <f t="shared" si="4"/>
        <v/>
      </c>
      <c r="J83" s="14" t="str">
        <f t="shared" si="5"/>
        <v/>
      </c>
      <c r="L83" s="26"/>
      <c r="M83" s="26"/>
      <c r="N83" s="1"/>
    </row>
    <row r="84" spans="1:20" ht="16.5">
      <c r="A84" s="5"/>
      <c r="B84" s="5">
        <v>82</v>
      </c>
      <c r="C84" s="5"/>
      <c r="D84" s="5">
        <v>0</v>
      </c>
      <c r="E84" s="2"/>
      <c r="F84" s="2"/>
      <c r="G84" s="2"/>
      <c r="H84" s="2"/>
      <c r="I84" s="14" t="str">
        <f t="shared" si="4"/>
        <v/>
      </c>
      <c r="J84" s="14" t="str">
        <f t="shared" si="5"/>
        <v/>
      </c>
      <c r="L84" s="26"/>
      <c r="M84" s="26"/>
      <c r="N84" s="1"/>
      <c r="T84" s="5"/>
    </row>
    <row r="85" spans="1:20" ht="16.5">
      <c r="B85" s="5">
        <v>83</v>
      </c>
      <c r="C85" s="5"/>
      <c r="D85" s="5">
        <v>2.2303648239604907</v>
      </c>
      <c r="E85" s="2">
        <v>2.31</v>
      </c>
      <c r="F85" s="2">
        <v>0.11</v>
      </c>
      <c r="G85" s="2">
        <v>2.12</v>
      </c>
      <c r="H85" s="2">
        <v>2.57</v>
      </c>
      <c r="I85" s="14">
        <f t="shared" si="4"/>
        <v>1</v>
      </c>
      <c r="J85" s="14">
        <f t="shared" si="5"/>
        <v>1</v>
      </c>
      <c r="L85" s="26"/>
      <c r="M85" s="26"/>
      <c r="N85" s="1"/>
      <c r="T85" s="5"/>
    </row>
    <row r="86" spans="1:20" ht="16.5">
      <c r="A86" s="5"/>
      <c r="B86" s="5">
        <v>84</v>
      </c>
      <c r="C86" s="5"/>
      <c r="D86" s="5">
        <v>2.3976421857575274</v>
      </c>
      <c r="E86" s="8">
        <v>2.48</v>
      </c>
      <c r="F86" s="8">
        <v>0.1</v>
      </c>
      <c r="G86" s="8">
        <v>2.29</v>
      </c>
      <c r="H86" s="8">
        <v>2.65</v>
      </c>
      <c r="I86" s="14">
        <f t="shared" si="4"/>
        <v>1</v>
      </c>
      <c r="J86" s="14">
        <f t="shared" si="5"/>
        <v>1</v>
      </c>
      <c r="L86" s="26"/>
      <c r="M86" s="26"/>
      <c r="N86" s="1"/>
      <c r="T86" s="5"/>
    </row>
    <row r="87" spans="1:20" ht="16.5">
      <c r="B87" s="5">
        <v>85</v>
      </c>
      <c r="C87" s="5"/>
      <c r="D87">
        <v>0</v>
      </c>
      <c r="E87" s="2"/>
      <c r="F87" s="2"/>
      <c r="G87" s="2"/>
      <c r="H87" s="2"/>
      <c r="I87" s="14" t="str">
        <f t="shared" si="4"/>
        <v/>
      </c>
      <c r="J87" s="14" t="str">
        <f t="shared" si="5"/>
        <v/>
      </c>
      <c r="L87" s="26"/>
      <c r="M87" s="26"/>
      <c r="N87" s="19"/>
    </row>
    <row r="88" spans="1:20" ht="16.5">
      <c r="A88" s="5"/>
      <c r="B88" s="5">
        <v>86</v>
      </c>
      <c r="C88" s="5"/>
      <c r="D88" s="5">
        <v>0</v>
      </c>
      <c r="E88" s="2"/>
      <c r="F88" s="2"/>
      <c r="G88" s="2"/>
      <c r="H88" s="2"/>
      <c r="I88" s="14" t="str">
        <f t="shared" si="4"/>
        <v/>
      </c>
      <c r="J88" s="14" t="str">
        <f t="shared" si="5"/>
        <v/>
      </c>
      <c r="L88" s="26"/>
      <c r="M88" s="26"/>
      <c r="N88" s="19"/>
      <c r="T88" s="5"/>
    </row>
    <row r="89" spans="1:20" ht="16.5">
      <c r="B89" s="5">
        <v>87</v>
      </c>
      <c r="C89" s="5"/>
      <c r="D89">
        <v>0</v>
      </c>
      <c r="E89" s="2"/>
      <c r="F89" s="2"/>
      <c r="G89" s="2"/>
      <c r="H89" s="2"/>
      <c r="I89" s="14" t="str">
        <f t="shared" si="4"/>
        <v/>
      </c>
      <c r="J89" s="14" t="str">
        <f t="shared" si="5"/>
        <v/>
      </c>
      <c r="L89" s="26"/>
      <c r="M89" s="26"/>
      <c r="N89" s="19"/>
    </row>
    <row r="90" spans="1:20" ht="16.5">
      <c r="A90" s="5"/>
      <c r="B90" s="5">
        <v>88</v>
      </c>
      <c r="C90" s="5"/>
      <c r="D90" s="5">
        <v>0</v>
      </c>
      <c r="E90" s="2"/>
      <c r="F90" s="2"/>
      <c r="G90" s="2"/>
      <c r="H90" s="2"/>
      <c r="I90" s="14" t="str">
        <f t="shared" si="4"/>
        <v/>
      </c>
      <c r="J90" s="14" t="str">
        <f t="shared" si="5"/>
        <v/>
      </c>
      <c r="L90" s="26"/>
      <c r="M90" s="26"/>
      <c r="N90" s="19"/>
      <c r="T90" s="5"/>
    </row>
    <row r="91" spans="1:20" ht="16.5">
      <c r="B91" s="5">
        <v>89</v>
      </c>
      <c r="C91" s="5"/>
      <c r="D91" s="5">
        <v>1.9993627529074398</v>
      </c>
      <c r="E91" s="2">
        <v>2.15</v>
      </c>
      <c r="F91" s="2">
        <v>0.11</v>
      </c>
      <c r="G91" s="2">
        <v>1.92</v>
      </c>
      <c r="H91" s="2">
        <v>2.33</v>
      </c>
      <c r="I91" s="14">
        <f t="shared" si="4"/>
        <v>1</v>
      </c>
      <c r="J91" s="14">
        <f t="shared" si="5"/>
        <v>0</v>
      </c>
      <c r="L91" s="26"/>
      <c r="M91" s="26"/>
      <c r="N91" s="19"/>
      <c r="T91" s="5"/>
    </row>
    <row r="92" spans="1:20" ht="16.5">
      <c r="A92" s="5"/>
      <c r="B92" s="5">
        <v>90</v>
      </c>
      <c r="C92" s="5"/>
      <c r="D92" s="5">
        <v>1.5931177314003504</v>
      </c>
      <c r="E92" s="8">
        <v>1.6</v>
      </c>
      <c r="F92" s="8">
        <v>0.1</v>
      </c>
      <c r="G92" s="8">
        <v>1.41</v>
      </c>
      <c r="H92" s="8">
        <v>1.8</v>
      </c>
      <c r="I92" s="14">
        <f t="shared" si="4"/>
        <v>1</v>
      </c>
      <c r="J92" s="14">
        <f t="shared" si="5"/>
        <v>1</v>
      </c>
      <c r="L92" s="26"/>
      <c r="M92" s="26"/>
      <c r="T92" s="5"/>
    </row>
    <row r="93" spans="1:20" ht="16.5">
      <c r="B93" s="5">
        <v>91</v>
      </c>
      <c r="C93" s="5"/>
      <c r="D93">
        <v>0</v>
      </c>
      <c r="E93" s="2"/>
      <c r="F93" s="2"/>
      <c r="G93" s="2"/>
      <c r="H93" s="2"/>
      <c r="I93" s="14" t="str">
        <f t="shared" si="4"/>
        <v/>
      </c>
      <c r="J93" s="14" t="str">
        <f t="shared" si="5"/>
        <v/>
      </c>
      <c r="L93" s="26"/>
      <c r="M93" s="26"/>
    </row>
    <row r="94" spans="1:20" ht="16.5">
      <c r="A94" s="5"/>
      <c r="B94" s="5">
        <v>92</v>
      </c>
      <c r="C94" s="5"/>
      <c r="D94" s="5">
        <v>0</v>
      </c>
      <c r="E94" s="2"/>
      <c r="F94" s="2"/>
      <c r="G94" s="2"/>
      <c r="H94" s="2"/>
      <c r="I94" s="14" t="str">
        <f t="shared" si="4"/>
        <v/>
      </c>
      <c r="J94" s="14" t="str">
        <f t="shared" si="5"/>
        <v/>
      </c>
      <c r="L94" s="26"/>
      <c r="M94" s="26"/>
      <c r="T94" s="5"/>
    </row>
    <row r="95" spans="1:20" ht="16.5">
      <c r="B95" s="5">
        <v>93</v>
      </c>
      <c r="C95" s="5"/>
      <c r="D95">
        <v>0</v>
      </c>
      <c r="E95" s="2"/>
      <c r="F95" s="2"/>
      <c r="G95" s="2"/>
      <c r="H95" s="2"/>
      <c r="I95" s="14" t="str">
        <f t="shared" si="4"/>
        <v/>
      </c>
      <c r="J95" s="14" t="str">
        <f t="shared" si="5"/>
        <v/>
      </c>
      <c r="L95" s="26"/>
      <c r="M95" s="26"/>
    </row>
    <row r="96" spans="1:20" ht="16.5">
      <c r="A96" s="5"/>
      <c r="B96" s="5">
        <v>94</v>
      </c>
      <c r="C96" s="5"/>
      <c r="D96" s="5">
        <v>0</v>
      </c>
      <c r="E96" s="2"/>
      <c r="F96" s="2"/>
      <c r="G96" s="2"/>
      <c r="H96" s="2"/>
      <c r="I96" s="14" t="str">
        <f t="shared" si="4"/>
        <v/>
      </c>
      <c r="J96" s="14" t="str">
        <f t="shared" si="5"/>
        <v/>
      </c>
      <c r="L96" s="26"/>
      <c r="M96" s="26"/>
      <c r="T96" s="5"/>
    </row>
    <row r="97" spans="1:20" ht="16.5">
      <c r="B97" s="5">
        <v>95</v>
      </c>
      <c r="C97" s="5"/>
      <c r="D97" s="5">
        <v>0.63724709256014023</v>
      </c>
      <c r="E97" s="2">
        <v>0.6</v>
      </c>
      <c r="F97" s="2">
        <v>0.08</v>
      </c>
      <c r="G97" s="2">
        <v>0.43</v>
      </c>
      <c r="H97" s="2">
        <v>0.76</v>
      </c>
      <c r="I97" s="14">
        <f t="shared" si="4"/>
        <v>1</v>
      </c>
      <c r="J97" s="14">
        <f t="shared" si="5"/>
        <v>1</v>
      </c>
      <c r="L97" s="26"/>
      <c r="M97" s="26"/>
      <c r="T97" s="5"/>
    </row>
    <row r="98" spans="1:20" ht="16.5">
      <c r="A98" s="5"/>
      <c r="B98" s="5">
        <v>96</v>
      </c>
      <c r="C98" s="5"/>
      <c r="D98" s="5">
        <v>0</v>
      </c>
      <c r="E98" s="8"/>
      <c r="F98" s="8"/>
      <c r="G98" s="8"/>
      <c r="H98" s="8"/>
      <c r="I98" s="14" t="str">
        <f t="shared" si="4"/>
        <v/>
      </c>
      <c r="J98" s="14" t="str">
        <f t="shared" si="5"/>
        <v/>
      </c>
      <c r="L98" s="26"/>
      <c r="M98" s="26"/>
      <c r="T98" s="5"/>
    </row>
    <row r="99" spans="1:20" ht="16.5">
      <c r="B99" s="5">
        <v>97</v>
      </c>
      <c r="C99" s="5"/>
      <c r="D99">
        <v>4.7793531942010512</v>
      </c>
      <c r="E99" s="8">
        <v>4.84</v>
      </c>
      <c r="F99" s="8">
        <v>0.24</v>
      </c>
      <c r="G99" s="8">
        <v>4.3099999999999996</v>
      </c>
      <c r="H99" s="8">
        <v>5.22</v>
      </c>
      <c r="I99" s="14">
        <f t="shared" si="4"/>
        <v>1</v>
      </c>
      <c r="J99" s="14">
        <f t="shared" si="5"/>
        <v>1</v>
      </c>
      <c r="L99" s="26"/>
      <c r="M99" s="26"/>
    </row>
    <row r="100" spans="1:20" ht="16.5">
      <c r="A100" s="5"/>
      <c r="B100" s="5">
        <v>98</v>
      </c>
      <c r="C100" s="5"/>
      <c r="D100" s="5">
        <v>0.8045244543571769</v>
      </c>
      <c r="E100" s="2">
        <v>0.73</v>
      </c>
      <c r="F100" s="2">
        <v>0.08</v>
      </c>
      <c r="G100" s="2">
        <v>0.57999999999999996</v>
      </c>
      <c r="H100" s="2">
        <v>0.9</v>
      </c>
      <c r="I100" s="14">
        <f t="shared" si="4"/>
        <v>1</v>
      </c>
      <c r="J100" s="14">
        <f t="shared" si="5"/>
        <v>1</v>
      </c>
      <c r="L100" s="26"/>
      <c r="M100" s="26"/>
      <c r="T100" s="5"/>
    </row>
    <row r="101" spans="1:20" ht="16.5">
      <c r="B101" s="5">
        <v>99</v>
      </c>
      <c r="C101" s="5"/>
      <c r="D101" s="5">
        <v>0</v>
      </c>
      <c r="E101" s="8"/>
      <c r="F101" s="8"/>
      <c r="G101" s="8"/>
      <c r="H101" s="8"/>
      <c r="I101" s="14" t="str">
        <f t="shared" si="4"/>
        <v/>
      </c>
      <c r="J101" s="14" t="str">
        <f t="shared" si="5"/>
        <v/>
      </c>
      <c r="L101" s="26"/>
      <c r="M101" s="26"/>
      <c r="T101" s="5"/>
    </row>
    <row r="102" spans="1:20" ht="16.5">
      <c r="A102" s="5"/>
      <c r="B102" s="5">
        <v>100</v>
      </c>
      <c r="C102" s="5"/>
      <c r="D102" s="5">
        <v>1.5931177314003504</v>
      </c>
      <c r="E102" s="8">
        <v>1.63</v>
      </c>
      <c r="F102" s="8">
        <v>0.11</v>
      </c>
      <c r="G102" s="8">
        <v>1.41</v>
      </c>
      <c r="H102" s="8">
        <v>1.84</v>
      </c>
      <c r="I102" s="14">
        <f t="shared" si="4"/>
        <v>1</v>
      </c>
      <c r="J102" s="14">
        <f t="shared" si="5"/>
        <v>1</v>
      </c>
      <c r="L102" s="26"/>
      <c r="M102" s="26"/>
      <c r="T102" s="5"/>
    </row>
    <row r="103" spans="1:20" ht="16.5">
      <c r="B103" s="5">
        <v>101</v>
      </c>
      <c r="C103" s="5"/>
      <c r="D103">
        <v>0</v>
      </c>
      <c r="E103" s="2"/>
      <c r="F103" s="2"/>
      <c r="G103" s="2"/>
      <c r="H103" s="2"/>
      <c r="I103" s="14" t="str">
        <f t="shared" si="4"/>
        <v/>
      </c>
      <c r="J103" s="14" t="str">
        <f t="shared" si="5"/>
        <v/>
      </c>
      <c r="L103" s="26"/>
      <c r="M103" s="26"/>
    </row>
    <row r="104" spans="1:20" ht="16.5">
      <c r="A104" s="5"/>
      <c r="B104" s="5">
        <v>102</v>
      </c>
      <c r="C104" s="5"/>
      <c r="D104" s="5">
        <v>0</v>
      </c>
      <c r="E104" s="2"/>
      <c r="F104" s="2"/>
      <c r="G104" s="2"/>
      <c r="H104" s="2"/>
      <c r="I104" s="14" t="str">
        <f t="shared" si="4"/>
        <v/>
      </c>
      <c r="J104" s="14" t="str">
        <f t="shared" si="5"/>
        <v/>
      </c>
      <c r="L104" s="26"/>
      <c r="M104" s="26"/>
      <c r="T104" s="5"/>
    </row>
    <row r="105" spans="1:20" ht="16.5">
      <c r="B105" s="5">
        <v>103</v>
      </c>
      <c r="C105" s="5"/>
      <c r="D105">
        <v>0</v>
      </c>
      <c r="E105" s="2"/>
      <c r="F105" s="2"/>
      <c r="G105" s="2"/>
      <c r="H105" s="2"/>
      <c r="I105" s="14" t="str">
        <f t="shared" si="4"/>
        <v/>
      </c>
      <c r="J105" s="14" t="str">
        <f t="shared" si="5"/>
        <v/>
      </c>
      <c r="L105" s="26"/>
      <c r="M105" s="26"/>
    </row>
    <row r="106" spans="1:20" ht="16.5">
      <c r="A106" s="5"/>
      <c r="B106" s="5">
        <v>104</v>
      </c>
      <c r="C106" s="5"/>
      <c r="D106" s="5">
        <v>0.7965588657001752</v>
      </c>
      <c r="E106" s="2">
        <v>0.91</v>
      </c>
      <c r="F106" s="2">
        <v>0.09</v>
      </c>
      <c r="G106" s="2">
        <v>0.75</v>
      </c>
      <c r="H106" s="2">
        <v>1.08</v>
      </c>
      <c r="I106" s="14">
        <f t="shared" si="4"/>
        <v>1</v>
      </c>
      <c r="J106" s="14">
        <f t="shared" si="5"/>
        <v>0</v>
      </c>
      <c r="L106" s="26"/>
      <c r="M106" s="26"/>
      <c r="T106" s="5"/>
    </row>
    <row r="107" spans="1:20" ht="16.5">
      <c r="B107" s="5">
        <v>105</v>
      </c>
      <c r="C107" s="5"/>
      <c r="D107" s="5">
        <v>0</v>
      </c>
      <c r="E107" s="8"/>
      <c r="F107" s="8"/>
      <c r="G107" s="8"/>
      <c r="H107" s="8"/>
      <c r="I107" s="14" t="str">
        <f t="shared" si="4"/>
        <v/>
      </c>
      <c r="J107" s="14" t="str">
        <f t="shared" si="5"/>
        <v/>
      </c>
      <c r="L107" s="26"/>
      <c r="M107" s="26"/>
      <c r="T107" s="5"/>
    </row>
    <row r="108" spans="1:20" ht="16.5">
      <c r="A108" s="23"/>
      <c r="B108" s="5">
        <v>106</v>
      </c>
      <c r="C108" s="5"/>
      <c r="D108" s="5">
        <v>1.9913971642504382</v>
      </c>
      <c r="E108" s="8">
        <v>2.19</v>
      </c>
      <c r="F108" s="8">
        <v>0.13</v>
      </c>
      <c r="G108" s="8">
        <v>1.93</v>
      </c>
      <c r="H108" s="8">
        <v>2.4500000000000002</v>
      </c>
      <c r="I108" s="14">
        <f t="shared" si="4"/>
        <v>1</v>
      </c>
      <c r="J108" s="14">
        <f t="shared" si="5"/>
        <v>0</v>
      </c>
      <c r="L108" s="26"/>
      <c r="M108" s="26"/>
      <c r="T108" s="5"/>
    </row>
    <row r="109" spans="1:20">
      <c r="B109" s="5">
        <v>107</v>
      </c>
      <c r="C109" s="12"/>
      <c r="D109">
        <v>0</v>
      </c>
      <c r="E109" s="1"/>
      <c r="F109" s="1"/>
      <c r="G109" s="1"/>
      <c r="H109" s="1"/>
      <c r="I109" s="14" t="str">
        <f t="shared" si="4"/>
        <v/>
      </c>
      <c r="J109" s="14" t="str">
        <f t="shared" si="5"/>
        <v/>
      </c>
    </row>
    <row r="110" spans="1:20">
      <c r="B110" s="5">
        <v>108</v>
      </c>
      <c r="C110" s="12"/>
      <c r="D110" s="5">
        <v>0</v>
      </c>
      <c r="E110" s="1"/>
      <c r="F110" s="1"/>
      <c r="G110" s="1"/>
      <c r="H110" s="1"/>
      <c r="I110" s="14" t="str">
        <f t="shared" si="4"/>
        <v/>
      </c>
      <c r="J110" s="14" t="str">
        <f t="shared" si="5"/>
        <v/>
      </c>
      <c r="T110" s="5"/>
    </row>
    <row r="111" spans="1:20">
      <c r="B111" s="5">
        <v>109</v>
      </c>
      <c r="C111" s="12"/>
      <c r="D111" s="9">
        <v>0</v>
      </c>
      <c r="E111" s="1"/>
      <c r="F111" s="1"/>
      <c r="G111" s="1"/>
      <c r="H111" s="1"/>
      <c r="I111" s="14" t="str">
        <f t="shared" si="4"/>
        <v/>
      </c>
      <c r="J111" s="14" t="str">
        <f t="shared" si="5"/>
        <v/>
      </c>
      <c r="T111" s="9"/>
    </row>
    <row r="112" spans="1:20">
      <c r="B112" s="12"/>
      <c r="C112" s="12"/>
      <c r="E112" s="1"/>
      <c r="F112" s="1"/>
      <c r="G112" s="1"/>
      <c r="H112" s="1"/>
    </row>
  </sheetData>
  <sortState xmlns:xlrd2="http://schemas.microsoft.com/office/spreadsheetml/2017/richdata2" ref="T2:U111">
    <sortCondition ref="T2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110pept no 0%ers </vt:lpstr>
      <vt:lpstr>Sheet2</vt:lpstr>
      <vt:lpstr>Sheet2!keys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Sophia Zhou</dc:creator>
  <cp:lastModifiedBy>Sophia</cp:lastModifiedBy>
  <dcterms:created xsi:type="dcterms:W3CDTF">2015-06-05T18:19:34Z</dcterms:created>
  <dcterms:modified xsi:type="dcterms:W3CDTF">2023-02-09T16:45:38Z</dcterms:modified>
</cp:coreProperties>
</file>